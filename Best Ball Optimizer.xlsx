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94effdcb5c500/Desktop/ffpc-optimizer/Data/"/>
    </mc:Choice>
  </mc:AlternateContent>
  <xr:revisionPtr revIDLastSave="0" documentId="8_{91D30EEC-5DA2-431C-ACD5-F88CDC6BEB20}" xr6:coauthVersionLast="47" xr6:coauthVersionMax="47" xr10:uidLastSave="{00000000-0000-0000-0000-000000000000}"/>
  <bookViews>
    <workbookView xWindow="15240" yWindow="-855" windowWidth="15600" windowHeight="11160" activeTab="2" xr2:uid="{FB3E764A-B260-425E-9BD7-35F7139AB484}"/>
  </bookViews>
  <sheets>
    <sheet name="Drafkings Best Ball" sheetId="4" r:id="rId1"/>
    <sheet name="FFPC Best Ball" sheetId="1" r:id="rId2"/>
    <sheet name="FFPC Super Best Ball" sheetId="3" r:id="rId3"/>
    <sheet name="Sheet2" sheetId="2" r:id="rId4"/>
    <sheet name="26 WR" sheetId="5" r:id="rId5"/>
  </sheets>
  <externalReferences>
    <externalReference r:id="rId6"/>
    <externalReference r:id="rId7"/>
  </externalReferences>
  <definedNames>
    <definedName name="_xlnm._FilterDatabase" localSheetId="4" hidden="1">'26 WR'!$B$1:$E$188</definedName>
    <definedName name="_xlnm._FilterDatabase" localSheetId="0" hidden="1">'Drafkings Best Ball'!$A$1:$AI$319</definedName>
    <definedName name="_xlnm._FilterDatabase" localSheetId="1" hidden="1">'FFPC Best Ball'!$A$1:$AL$300</definedName>
    <definedName name="_xlnm._FilterDatabase" localSheetId="2" hidden="1">'FFPC Super Best Ball'!$A$1:$AL$319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4" l="1" a="1"/>
  <c r="D2" i="4" s="1"/>
  <c r="D3" i="4" a="1"/>
  <c r="D3" i="4" s="1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/>
  <c r="D14" i="4" a="1"/>
  <c r="D14" i="4" s="1"/>
  <c r="D15" i="4" a="1"/>
  <c r="D15" i="4" s="1"/>
  <c r="D16" i="4" a="1"/>
  <c r="D16" i="4" s="1"/>
  <c r="D17" i="4" a="1"/>
  <c r="D17" i="4"/>
  <c r="D18" i="4" a="1"/>
  <c r="D18" i="4" s="1"/>
  <c r="D19" i="4" a="1"/>
  <c r="D19" i="4" s="1"/>
  <c r="D20" i="4" a="1"/>
  <c r="D20" i="4" s="1"/>
  <c r="D21" i="4" a="1"/>
  <c r="D21" i="4" s="1"/>
  <c r="D22" i="4" a="1"/>
  <c r="D22" i="4" s="1"/>
  <c r="D23" i="4" a="1"/>
  <c r="D23" i="4" s="1"/>
  <c r="D24" i="4" a="1"/>
  <c r="D24" i="4" s="1"/>
  <c r="D25" i="4" a="1"/>
  <c r="D25" i="4" s="1"/>
  <c r="D26" i="4" a="1"/>
  <c r="D26" i="4" s="1"/>
  <c r="D27" i="4" a="1"/>
  <c r="D27" i="4" s="1"/>
  <c r="D28" i="4" a="1"/>
  <c r="D28" i="4" s="1"/>
  <c r="D29" i="4" a="1"/>
  <c r="D29" i="4"/>
  <c r="D30" i="4" a="1"/>
  <c r="D30" i="4" s="1"/>
  <c r="D31" i="4" a="1"/>
  <c r="D31" i="4" s="1"/>
  <c r="D32" i="4" a="1"/>
  <c r="D32" i="4" s="1"/>
  <c r="D33" i="4" a="1"/>
  <c r="D33" i="4"/>
  <c r="D34" i="4" a="1"/>
  <c r="D34" i="4" s="1"/>
  <c r="D35" i="4" a="1"/>
  <c r="D35" i="4" s="1"/>
  <c r="D36" i="4" a="1"/>
  <c r="D36" i="4" s="1"/>
  <c r="D37" i="4" a="1"/>
  <c r="D37" i="4"/>
  <c r="D38" i="4" a="1"/>
  <c r="D38" i="4" s="1"/>
  <c r="D39" i="4" a="1"/>
  <c r="D39" i="4" s="1"/>
  <c r="D40" i="4" a="1"/>
  <c r="D40" i="4" s="1"/>
  <c r="D41" i="4" a="1"/>
  <c r="D41" i="4" s="1"/>
  <c r="D42" i="4" a="1"/>
  <c r="D42" i="4" s="1"/>
  <c r="D43" i="4" a="1"/>
  <c r="D43" i="4" s="1"/>
  <c r="D44" i="4" a="1"/>
  <c r="D44" i="4" s="1"/>
  <c r="D45" i="4" a="1"/>
  <c r="D45" i="4" s="1"/>
  <c r="D46" i="4" a="1"/>
  <c r="D46" i="4" s="1"/>
  <c r="D47" i="4" a="1"/>
  <c r="D47" i="4" s="1"/>
  <c r="D48" i="4" a="1"/>
  <c r="D48" i="4" s="1"/>
  <c r="D49" i="4" a="1"/>
  <c r="D49" i="4"/>
  <c r="D50" i="4" a="1"/>
  <c r="D50" i="4" s="1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D64" i="4" a="1"/>
  <c r="D64" i="4" s="1"/>
  <c r="D65" i="4" a="1"/>
  <c r="D65" i="4"/>
  <c r="D66" i="4" a="1"/>
  <c r="D66" i="4" s="1"/>
  <c r="D67" i="4" a="1"/>
  <c r="D67" i="4" s="1"/>
  <c r="D68" i="4" a="1"/>
  <c r="D68" i="4" s="1"/>
  <c r="D69" i="4" a="1"/>
  <c r="D69" i="4" s="1"/>
  <c r="D70" i="4" a="1"/>
  <c r="D70" i="4" s="1"/>
  <c r="D71" i="4" a="1"/>
  <c r="D71" i="4" s="1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/>
  <c r="D78" i="4" a="1"/>
  <c r="D78" i="4" s="1"/>
  <c r="D79" i="4" a="1"/>
  <c r="D79" i="4" s="1"/>
  <c r="D80" i="4" a="1"/>
  <c r="D80" i="4" s="1"/>
  <c r="D81" i="4" a="1"/>
  <c r="D81" i="4"/>
  <c r="D82" i="4" a="1"/>
  <c r="D82" i="4" s="1"/>
  <c r="D83" i="4" a="1"/>
  <c r="D83" i="4" s="1"/>
  <c r="D84" i="4" a="1"/>
  <c r="D84" i="4" s="1"/>
  <c r="D85" i="4" a="1"/>
  <c r="D85" i="4" s="1"/>
  <c r="D86" i="4" a="1"/>
  <c r="D86" i="4" s="1"/>
  <c r="D87" i="4" a="1"/>
  <c r="D87" i="4" s="1"/>
  <c r="D88" i="4" a="1"/>
  <c r="D88" i="4" s="1"/>
  <c r="D89" i="4" a="1"/>
  <c r="D89" i="4" s="1"/>
  <c r="D90" i="4" a="1"/>
  <c r="D90" i="4" s="1"/>
  <c r="D91" i="4" a="1"/>
  <c r="D91" i="4" s="1"/>
  <c r="D92" i="4" a="1"/>
  <c r="D92" i="4" s="1"/>
  <c r="D93" i="4" a="1"/>
  <c r="D93" i="4"/>
  <c r="D94" i="4" a="1"/>
  <c r="D94" i="4" s="1"/>
  <c r="D95" i="4" a="1"/>
  <c r="D95" i="4" s="1"/>
  <c r="D96" i="4" a="1"/>
  <c r="D96" i="4" s="1"/>
  <c r="D97" i="4" a="1"/>
  <c r="D97" i="4" s="1"/>
  <c r="D98" i="4" a="1"/>
  <c r="D98" i="4" s="1"/>
  <c r="D99" i="4" a="1"/>
  <c r="D99" i="4" s="1"/>
  <c r="D100" i="4" a="1"/>
  <c r="D100" i="4" s="1"/>
  <c r="D101" i="4" a="1"/>
  <c r="D101" i="4" s="1"/>
  <c r="D102" i="4" a="1"/>
  <c r="D102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/>
  <c r="D118" i="4" a="1"/>
  <c r="D118" i="4" s="1"/>
  <c r="D119" i="4" a="1"/>
  <c r="D119" i="4" s="1"/>
  <c r="D120" i="4" a="1"/>
  <c r="D120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7" i="4" a="1"/>
  <c r="D127" i="4" s="1"/>
  <c r="D128" i="4" a="1"/>
  <c r="D128" i="4" s="1"/>
  <c r="D129" i="4" a="1"/>
  <c r="D129" i="4" s="1"/>
  <c r="D130" i="4" a="1"/>
  <c r="D130" i="4" s="1"/>
  <c r="D131" i="4" a="1"/>
  <c r="D131" i="4" s="1"/>
  <c r="D132" i="4" a="1"/>
  <c r="D132" i="4" s="1"/>
  <c r="D133" i="4" a="1"/>
  <c r="D133" i="4" s="1"/>
  <c r="D134" i="4" a="1"/>
  <c r="D134" i="4" s="1"/>
  <c r="D135" i="4" a="1"/>
  <c r="D135" i="4" s="1"/>
  <c r="D136" i="4" a="1"/>
  <c r="D136" i="4" s="1"/>
  <c r="D137" i="4" a="1"/>
  <c r="D137" i="4" s="1"/>
  <c r="D138" i="4" a="1"/>
  <c r="D138" i="4" s="1"/>
  <c r="D139" i="4" a="1"/>
  <c r="D139" i="4" s="1"/>
  <c r="D140" i="4" a="1"/>
  <c r="D140" i="4" s="1"/>
  <c r="D141" i="4" a="1"/>
  <c r="D141" i="4" s="1"/>
  <c r="D142" i="4" a="1"/>
  <c r="D142" i="4" s="1"/>
  <c r="D143" i="4" a="1"/>
  <c r="D143" i="4" s="1"/>
  <c r="D144" i="4" a="1"/>
  <c r="D144" i="4" s="1"/>
  <c r="D145" i="4" a="1"/>
  <c r="D145" i="4" s="1"/>
  <c r="D146" i="4" a="1"/>
  <c r="D146" i="4" s="1"/>
  <c r="D147" i="4" a="1"/>
  <c r="D147" i="4" s="1"/>
  <c r="D148" i="4" a="1"/>
  <c r="D148" i="4" s="1"/>
  <c r="D149" i="4" a="1"/>
  <c r="D149" i="4"/>
  <c r="D150" i="4" a="1"/>
  <c r="D150" i="4" s="1"/>
  <c r="D151" i="4" a="1"/>
  <c r="D151" i="4" s="1"/>
  <c r="D152" i="4" a="1"/>
  <c r="D152" i="4" s="1"/>
  <c r="D153" i="4" a="1"/>
  <c r="D153" i="4" s="1"/>
  <c r="D154" i="4" a="1"/>
  <c r="D154" i="4" s="1"/>
  <c r="D155" i="4" a="1"/>
  <c r="D155" i="4" s="1"/>
  <c r="D156" i="4" a="1"/>
  <c r="D156" i="4" s="1"/>
  <c r="D157" i="4" a="1"/>
  <c r="D157" i="4" s="1"/>
  <c r="D158" i="4" a="1"/>
  <c r="D158" i="4" s="1"/>
  <c r="D159" i="4" a="1"/>
  <c r="D159" i="4" s="1"/>
  <c r="D160" i="4" a="1"/>
  <c r="D160" i="4" s="1"/>
  <c r="D161" i="4" a="1"/>
  <c r="D161" i="4" s="1"/>
  <c r="D162" i="4" a="1"/>
  <c r="D162" i="4" s="1"/>
  <c r="D163" i="4" a="1"/>
  <c r="D163" i="4" s="1"/>
  <c r="D164" i="4" a="1"/>
  <c r="D164" i="4" s="1"/>
  <c r="D165" i="4" a="1"/>
  <c r="D165" i="4" s="1"/>
  <c r="D166" i="4" a="1"/>
  <c r="D166" i="4" s="1"/>
  <c r="D167" i="4" a="1"/>
  <c r="D167" i="4" s="1"/>
  <c r="D168" i="4" a="1"/>
  <c r="D168" i="4" s="1"/>
  <c r="D169" i="4" a="1"/>
  <c r="D169" i="4" s="1"/>
  <c r="D170" i="4" a="1"/>
  <c r="D170" i="4" s="1"/>
  <c r="D171" i="4" a="1"/>
  <c r="D171" i="4" s="1"/>
  <c r="D172" i="4" a="1"/>
  <c r="D172" i="4" s="1"/>
  <c r="D173" i="4" a="1"/>
  <c r="D173" i="4"/>
  <c r="D174" i="4" a="1"/>
  <c r="D174" i="4" s="1"/>
  <c r="D175" i="4" a="1"/>
  <c r="D175" i="4" s="1"/>
  <c r="D176" i="4" a="1"/>
  <c r="D176" i="4" s="1"/>
  <c r="D177" i="4" a="1"/>
  <c r="D177" i="4" s="1"/>
  <c r="D178" i="4" a="1"/>
  <c r="D178" i="4" s="1"/>
  <c r="D179" i="4" a="1"/>
  <c r="D179" i="4" s="1"/>
  <c r="D180" i="4" a="1"/>
  <c r="D180" i="4" s="1"/>
  <c r="D181" i="4" a="1"/>
  <c r="D181" i="4"/>
  <c r="D182" i="4" a="1"/>
  <c r="D182" i="4" s="1"/>
  <c r="D183" i="4" a="1"/>
  <c r="D183" i="4" s="1"/>
  <c r="D184" i="4" a="1"/>
  <c r="D184" i="4" s="1"/>
  <c r="D185" i="4" a="1"/>
  <c r="D185" i="4" s="1"/>
  <c r="D186" i="4" a="1"/>
  <c r="D186" i="4" s="1"/>
  <c r="D187" i="4" a="1"/>
  <c r="D187" i="4" s="1"/>
  <c r="D188" i="4" a="1"/>
  <c r="D188" i="4" s="1"/>
  <c r="D189" i="4" a="1"/>
  <c r="D189" i="4" s="1"/>
  <c r="D190" i="4" a="1"/>
  <c r="D190" i="4" s="1"/>
  <c r="D191" i="4" a="1"/>
  <c r="D191" i="4" s="1"/>
  <c r="D192" i="4" a="1"/>
  <c r="D192" i="4" s="1"/>
  <c r="D193" i="4" a="1"/>
  <c r="D193" i="4" s="1"/>
  <c r="D194" i="4" a="1"/>
  <c r="D194" i="4" s="1"/>
  <c r="D195" i="4" a="1"/>
  <c r="D195" i="4" s="1"/>
  <c r="D196" i="4" a="1"/>
  <c r="D196" i="4" s="1"/>
  <c r="D197" i="4" a="1"/>
  <c r="D197" i="4" s="1"/>
  <c r="D198" i="4" a="1"/>
  <c r="D198" i="4" s="1"/>
  <c r="D199" i="4" a="1"/>
  <c r="D199" i="4" s="1"/>
  <c r="D200" i="4" a="1"/>
  <c r="D200" i="4" s="1"/>
  <c r="D201" i="4" a="1"/>
  <c r="D201" i="4" s="1"/>
  <c r="D202" i="4" a="1"/>
  <c r="D202" i="4" s="1"/>
  <c r="D203" i="4" a="1"/>
  <c r="D203" i="4" s="1"/>
  <c r="D204" i="4" a="1"/>
  <c r="D204" i="4" s="1"/>
  <c r="D205" i="4" a="1"/>
  <c r="D205" i="4"/>
  <c r="D206" i="4" a="1"/>
  <c r="D206" i="4" s="1"/>
  <c r="D207" i="4" a="1"/>
  <c r="D207" i="4" s="1"/>
  <c r="D208" i="4" a="1"/>
  <c r="D208" i="4" s="1"/>
  <c r="D209" i="4" a="1"/>
  <c r="D209" i="4" s="1"/>
  <c r="D210" i="4" a="1"/>
  <c r="D210" i="4" s="1"/>
  <c r="D211" i="4" a="1"/>
  <c r="D211" i="4" s="1"/>
  <c r="D212" i="4" a="1"/>
  <c r="D212" i="4" s="1"/>
  <c r="D213" i="4" a="1"/>
  <c r="D213" i="4"/>
  <c r="D214" i="4" a="1"/>
  <c r="D214" i="4" s="1"/>
  <c r="D215" i="4" a="1"/>
  <c r="D215" i="4" s="1"/>
  <c r="D216" i="4" a="1"/>
  <c r="D216" i="4" s="1"/>
  <c r="D217" i="4" a="1"/>
  <c r="D217" i="4" s="1"/>
  <c r="D218" i="4" a="1"/>
  <c r="D218" i="4" s="1"/>
  <c r="D219" i="4" a="1"/>
  <c r="D219" i="4" s="1"/>
  <c r="D220" i="4" a="1"/>
  <c r="D220" i="4" s="1"/>
  <c r="D221" i="4" a="1"/>
  <c r="D221" i="4" s="1"/>
  <c r="D222" i="4" a="1"/>
  <c r="D222" i="4" s="1"/>
  <c r="D223" i="4" a="1"/>
  <c r="D223" i="4" s="1"/>
  <c r="D224" i="4" a="1"/>
  <c r="D224" i="4" s="1"/>
  <c r="D225" i="4" a="1"/>
  <c r="D225" i="4" s="1"/>
  <c r="D226" i="4" a="1"/>
  <c r="D226" i="4" s="1"/>
  <c r="D227" i="4" a="1"/>
  <c r="D227" i="4" s="1"/>
  <c r="D228" i="4" a="1"/>
  <c r="D228" i="4" s="1"/>
  <c r="D229" i="4" a="1"/>
  <c r="D229" i="4" s="1"/>
  <c r="D230" i="4" a="1"/>
  <c r="D230" i="4" s="1"/>
  <c r="D231" i="4" a="1"/>
  <c r="D231" i="4" s="1"/>
  <c r="D232" i="4" a="1"/>
  <c r="D232" i="4" s="1"/>
  <c r="D233" i="4" a="1"/>
  <c r="D233" i="4" s="1"/>
  <c r="D234" i="4" a="1"/>
  <c r="D234" i="4" s="1"/>
  <c r="D235" i="4" a="1"/>
  <c r="D235" i="4" s="1"/>
  <c r="D236" i="4" a="1"/>
  <c r="D236" i="4" s="1"/>
  <c r="D237" i="4" a="1"/>
  <c r="D237" i="4"/>
  <c r="D238" i="4" a="1"/>
  <c r="D238" i="4" s="1"/>
  <c r="D239" i="4" a="1"/>
  <c r="D239" i="4" s="1"/>
  <c r="D240" i="4" a="1"/>
  <c r="D240" i="4" s="1"/>
  <c r="D241" i="4" a="1"/>
  <c r="D241" i="4" s="1"/>
  <c r="D242" i="4" a="1"/>
  <c r="D242" i="4" s="1"/>
  <c r="D243" i="4" a="1"/>
  <c r="D243" i="4" s="1"/>
  <c r="D244" i="4" a="1"/>
  <c r="D244" i="4" s="1"/>
  <c r="D245" i="4" a="1"/>
  <c r="D245" i="4"/>
  <c r="D246" i="4" a="1"/>
  <c r="D246" i="4" s="1"/>
  <c r="D247" i="4" a="1"/>
  <c r="D247" i="4" s="1"/>
  <c r="D248" i="4" a="1"/>
  <c r="D248" i="4" s="1"/>
  <c r="D249" i="4" a="1"/>
  <c r="D249" i="4" s="1"/>
  <c r="D250" i="4" a="1"/>
  <c r="D250" i="4" s="1"/>
  <c r="D251" i="4" a="1"/>
  <c r="D251" i="4" s="1"/>
  <c r="D252" i="4" a="1"/>
  <c r="D252" i="4" s="1"/>
  <c r="D253" i="4" a="1"/>
  <c r="D253" i="4" s="1"/>
  <c r="D254" i="4" a="1"/>
  <c r="D254" i="4" s="1"/>
  <c r="D255" i="4" a="1"/>
  <c r="D255" i="4" s="1"/>
  <c r="D256" i="4" a="1"/>
  <c r="D256" i="4" s="1"/>
  <c r="D257" i="4" a="1"/>
  <c r="D257" i="4" s="1"/>
  <c r="D258" i="4" a="1"/>
  <c r="D258" i="4" s="1"/>
  <c r="D259" i="4" a="1"/>
  <c r="D259" i="4" s="1"/>
  <c r="D260" i="4" a="1"/>
  <c r="D260" i="4" s="1"/>
  <c r="D261" i="4" a="1"/>
  <c r="D261" i="4" s="1"/>
  <c r="D262" i="4" a="1"/>
  <c r="D262" i="4" s="1"/>
  <c r="D263" i="4" a="1"/>
  <c r="D263" i="4" s="1"/>
  <c r="D264" i="4" a="1"/>
  <c r="D264" i="4" s="1"/>
  <c r="D265" i="4" a="1"/>
  <c r="D265" i="4" s="1"/>
  <c r="D266" i="4" a="1"/>
  <c r="D266" i="4" s="1"/>
  <c r="D267" i="4" a="1"/>
  <c r="D267" i="4" s="1"/>
  <c r="D268" i="4" a="1"/>
  <c r="D268" i="4" s="1"/>
  <c r="D269" i="4" a="1"/>
  <c r="D269" i="4"/>
  <c r="D270" i="4" a="1"/>
  <c r="D270" i="4" s="1"/>
  <c r="D271" i="4" a="1"/>
  <c r="D271" i="4" s="1"/>
  <c r="D272" i="4" a="1"/>
  <c r="D272" i="4" s="1"/>
  <c r="D273" i="4" a="1"/>
  <c r="D273" i="4" s="1"/>
  <c r="D274" i="4" a="1"/>
  <c r="D274" i="4" s="1"/>
  <c r="D275" i="4" a="1"/>
  <c r="D275" i="4" s="1"/>
  <c r="D276" i="4" a="1"/>
  <c r="D276" i="4" s="1"/>
  <c r="D277" i="4" a="1"/>
  <c r="D277" i="4"/>
  <c r="D278" i="4" a="1"/>
  <c r="D278" i="4" s="1"/>
  <c r="D279" i="4" a="1"/>
  <c r="D279" i="4" s="1"/>
  <c r="D280" i="4" a="1"/>
  <c r="D280" i="4" s="1"/>
  <c r="D281" i="4" a="1"/>
  <c r="D281" i="4" s="1"/>
  <c r="D282" i="4" a="1"/>
  <c r="D282" i="4" s="1"/>
  <c r="D283" i="4" a="1"/>
  <c r="D283" i="4" s="1"/>
  <c r="D284" i="4" a="1"/>
  <c r="D284" i="4" s="1"/>
  <c r="D285" i="4" a="1"/>
  <c r="D285" i="4" s="1"/>
  <c r="D286" i="4" a="1"/>
  <c r="D286" i="4" s="1"/>
  <c r="D287" i="4" a="1"/>
  <c r="D287" i="4" s="1"/>
  <c r="D288" i="4" a="1"/>
  <c r="D288" i="4" s="1"/>
  <c r="D289" i="4" a="1"/>
  <c r="D289" i="4" s="1"/>
  <c r="D290" i="4" a="1"/>
  <c r="D290" i="4" s="1"/>
  <c r="D291" i="4" a="1"/>
  <c r="D291" i="4" s="1"/>
  <c r="D292" i="4" a="1"/>
  <c r="D292" i="4" s="1"/>
  <c r="D293" i="4" a="1"/>
  <c r="D293" i="4" s="1"/>
  <c r="D294" i="4" a="1"/>
  <c r="D294" i="4" s="1"/>
  <c r="D295" i="4" a="1"/>
  <c r="D295" i="4" s="1"/>
  <c r="D296" i="4" a="1"/>
  <c r="D296" i="4" s="1"/>
  <c r="D297" i="4" a="1"/>
  <c r="D297" i="4" s="1"/>
  <c r="D298" i="4" a="1"/>
  <c r="D298" i="4" s="1"/>
  <c r="D299" i="4" a="1"/>
  <c r="D299" i="4" s="1"/>
  <c r="D300" i="4" a="1"/>
  <c r="D300" i="4" s="1"/>
  <c r="D301" i="4" a="1"/>
  <c r="D301" i="4" s="1"/>
  <c r="D302" i="4" a="1"/>
  <c r="D302" i="4" s="1"/>
  <c r="D303" i="4" a="1"/>
  <c r="D303" i="4" s="1"/>
  <c r="D304" i="4" a="1"/>
  <c r="D304" i="4" s="1"/>
  <c r="D305" i="4" a="1"/>
  <c r="D305" i="4" s="1"/>
  <c r="D306" i="4" a="1"/>
  <c r="D306" i="4" s="1"/>
  <c r="D307" i="4" a="1"/>
  <c r="D307" i="4" s="1"/>
  <c r="D308" i="4" a="1"/>
  <c r="D308" i="4" s="1"/>
  <c r="D309" i="4" a="1"/>
  <c r="D309" i="4" s="1"/>
  <c r="D310" i="4" a="1"/>
  <c r="D310" i="4" s="1"/>
  <c r="D311" i="4" a="1"/>
  <c r="D311" i="4" s="1"/>
  <c r="D312" i="4" a="1"/>
  <c r="D312" i="4" s="1"/>
  <c r="D313" i="4" a="1"/>
  <c r="D313" i="4" s="1"/>
  <c r="D314" i="4" a="1"/>
  <c r="D314" i="4" s="1"/>
  <c r="D315" i="4" a="1"/>
  <c r="D315" i="4" s="1"/>
  <c r="D316" i="4" a="1"/>
  <c r="D316" i="4" s="1"/>
  <c r="D317" i="4" a="1"/>
  <c r="D317" i="4" s="1"/>
  <c r="D318" i="4" a="1"/>
  <c r="D318" i="4" s="1"/>
  <c r="D319" i="4" a="1"/>
  <c r="D319" i="4" s="1"/>
  <c r="D2" i="1" a="1"/>
  <c r="D2" i="1" s="1"/>
  <c r="D3" i="1" a="1"/>
  <c r="D3" i="1" s="1"/>
  <c r="D4" i="1" a="1"/>
  <c r="D4" i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/>
  <c r="D43" i="1" a="1"/>
  <c r="D43" i="1" s="1"/>
  <c r="D44" i="1" a="1"/>
  <c r="D44" i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/>
  <c r="D51" i="1" a="1"/>
  <c r="D51" i="1" s="1"/>
  <c r="D52" i="1" a="1"/>
  <c r="D52" i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/>
  <c r="D59" i="1" a="1"/>
  <c r="D59" i="1" s="1"/>
  <c r="D60" i="1" a="1"/>
  <c r="D60" i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/>
  <c r="D75" i="1" a="1"/>
  <c r="D75" i="1" s="1"/>
  <c r="D76" i="1" a="1"/>
  <c r="D76" i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 s="1"/>
  <c r="D205" i="1" a="1"/>
  <c r="D205" i="1" s="1"/>
  <c r="D206" i="1" a="1"/>
  <c r="D206" i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/>
  <c r="D271" i="1" a="1"/>
  <c r="D271" i="1" s="1"/>
  <c r="D272" i="1" a="1"/>
  <c r="D272" i="1" s="1"/>
  <c r="D273" i="1" a="1"/>
  <c r="D273" i="1" s="1"/>
  <c r="D274" i="1" a="1"/>
  <c r="D274" i="1" s="1"/>
  <c r="D275" i="1" a="1"/>
  <c r="D275" i="1" s="1"/>
  <c r="D276" i="1" a="1"/>
  <c r="D276" i="1" s="1"/>
  <c r="D277" i="1" a="1"/>
  <c r="D277" i="1" s="1"/>
  <c r="D278" i="1" a="1"/>
  <c r="D278" i="1"/>
  <c r="D279" i="1" a="1"/>
  <c r="D279" i="1" s="1"/>
  <c r="D280" i="1" a="1"/>
  <c r="D280" i="1" s="1"/>
  <c r="D281" i="1" a="1"/>
  <c r="D281" i="1" s="1"/>
  <c r="D282" i="1" a="1"/>
  <c r="D282" i="1" s="1"/>
  <c r="D283" i="1" a="1"/>
  <c r="D283" i="1" s="1"/>
  <c r="D284" i="1" a="1"/>
  <c r="D284" i="1" s="1"/>
  <c r="D285" i="1" a="1"/>
  <c r="D285" i="1" s="1"/>
  <c r="D286" i="1" a="1"/>
  <c r="D286" i="1" s="1"/>
  <c r="D287" i="1" a="1"/>
  <c r="D287" i="1" s="1"/>
  <c r="D288" i="1" a="1"/>
  <c r="D288" i="1" s="1"/>
  <c r="D289" i="1" a="1"/>
  <c r="D289" i="1" s="1"/>
  <c r="D290" i="1" a="1"/>
  <c r="D290" i="1" s="1"/>
  <c r="D291" i="1" a="1"/>
  <c r="D291" i="1" s="1"/>
  <c r="D292" i="1" a="1"/>
  <c r="D292" i="1" s="1"/>
  <c r="D293" i="1" a="1"/>
  <c r="D293" i="1" s="1"/>
  <c r="D294" i="1" a="1"/>
  <c r="D294" i="1" s="1"/>
  <c r="D295" i="1" a="1"/>
  <c r="D295" i="1" s="1"/>
  <c r="D296" i="1" a="1"/>
  <c r="D296" i="1" s="1"/>
  <c r="D297" i="1" a="1"/>
  <c r="D297" i="1" s="1"/>
  <c r="D298" i="1" a="1"/>
  <c r="D298" i="1" s="1"/>
  <c r="D299" i="1" a="1"/>
  <c r="D299" i="1" s="1"/>
  <c r="D300" i="1" a="1"/>
  <c r="D300" i="1" s="1"/>
  <c r="D2" i="3" a="1"/>
  <c r="D2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 s="1"/>
  <c r="D262" i="3" a="1"/>
  <c r="D262" i="3" s="1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 s="1"/>
  <c r="D274" i="3" a="1"/>
  <c r="D274" i="3" s="1"/>
  <c r="D275" i="3" a="1"/>
  <c r="D275" i="3" s="1"/>
  <c r="D276" i="3" a="1"/>
  <c r="D276" i="3" s="1"/>
  <c r="D277" i="3" a="1"/>
  <c r="D277" i="3" s="1"/>
  <c r="D278" i="3" a="1"/>
  <c r="D278" i="3" s="1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 s="1"/>
  <c r="D230" i="3" a="1"/>
  <c r="D230" i="3" s="1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 s="1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 s="1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50" i="3" a="1"/>
  <c r="D50" i="3" s="1"/>
  <c r="D29" i="3" a="1"/>
  <c r="D29" i="3" s="1"/>
  <c r="D30" i="3" a="1"/>
  <c r="D30" i="3"/>
  <c r="D31" i="3" a="1"/>
  <c r="D31" i="3" s="1"/>
  <c r="D32" i="3" a="1"/>
  <c r="D32" i="3" s="1"/>
  <c r="D33" i="3" a="1"/>
  <c r="D33" i="3" s="1"/>
  <c r="D34" i="3" a="1"/>
  <c r="D34" i="3"/>
  <c r="D35" i="3" a="1"/>
  <c r="D35" i="3" s="1"/>
  <c r="D36" i="3" a="1"/>
  <c r="D36" i="3" s="1"/>
  <c r="D37" i="3" a="1"/>
  <c r="D37" i="3" s="1"/>
  <c r="D38" i="3" a="1"/>
  <c r="D38" i="3"/>
  <c r="D39" i="3" a="1"/>
  <c r="D39" i="3" s="1"/>
  <c r="D40" i="3" a="1"/>
  <c r="D40" i="3" s="1"/>
  <c r="D41" i="3" a="1"/>
  <c r="D41" i="3" s="1"/>
  <c r="D42" i="3" a="1"/>
  <c r="D42" i="3"/>
  <c r="D43" i="3" a="1"/>
  <c r="D43" i="3" s="1"/>
  <c r="D44" i="3" a="1"/>
  <c r="D44" i="3" s="1"/>
  <c r="D45" i="3" a="1"/>
  <c r="D45" i="3" s="1"/>
  <c r="D46" i="3" a="1"/>
  <c r="D46" i="3"/>
  <c r="D47" i="3" a="1"/>
  <c r="D47" i="3" s="1"/>
  <c r="D48" i="3" a="1"/>
  <c r="D48" i="3" s="1"/>
  <c r="D49" i="3" a="1"/>
  <c r="D49" i="3" s="1"/>
  <c r="D51" i="3" a="1"/>
  <c r="D51" i="3" s="1"/>
  <c r="D52" i="3" a="1"/>
  <c r="D52" i="3" s="1"/>
  <c r="D53" i="3" a="1"/>
  <c r="D53" i="3" s="1"/>
  <c r="D54" i="3" a="1"/>
  <c r="D54" i="3"/>
  <c r="D55" i="3" a="1"/>
  <c r="D55" i="3" s="1"/>
  <c r="D56" i="3" a="1"/>
  <c r="D56" i="3" s="1"/>
  <c r="D57" i="3" a="1"/>
  <c r="D57" i="3" s="1"/>
  <c r="D58" i="3" a="1"/>
  <c r="D58" i="3"/>
  <c r="D59" i="3" a="1"/>
  <c r="D59" i="3" s="1"/>
  <c r="D60" i="3" a="1"/>
  <c r="D60" i="3" s="1"/>
  <c r="D61" i="3" a="1"/>
  <c r="D61" i="3" s="1"/>
  <c r="D62" i="3" a="1"/>
  <c r="D62" i="3"/>
  <c r="D63" i="3" a="1"/>
  <c r="D63" i="3" s="1"/>
  <c r="D64" i="3" a="1"/>
  <c r="D64" i="3" s="1"/>
  <c r="D65" i="3" a="1"/>
  <c r="D65" i="3" s="1"/>
  <c r="D66" i="3" a="1"/>
  <c r="D66" i="3"/>
  <c r="D67" i="3" a="1"/>
  <c r="D67" i="3" s="1"/>
  <c r="D68" i="3" a="1"/>
  <c r="D68" i="3" s="1"/>
  <c r="D69" i="3" a="1"/>
  <c r="D69" i="3" s="1"/>
  <c r="D70" i="3" a="1"/>
  <c r="D70" i="3"/>
  <c r="D71" i="3" a="1"/>
  <c r="D71" i="3" s="1"/>
  <c r="D72" i="3" a="1"/>
  <c r="D72" i="3" s="1"/>
  <c r="D73" i="3" a="1"/>
  <c r="D73" i="3" s="1"/>
  <c r="D74" i="3" a="1"/>
  <c r="D74" i="3"/>
  <c r="D75" i="3" a="1"/>
  <c r="D75" i="3" s="1"/>
  <c r="D76" i="3" a="1"/>
  <c r="D76" i="3" s="1"/>
  <c r="D77" i="3" a="1"/>
  <c r="D77" i="3" s="1"/>
  <c r="D78" i="3" a="1"/>
  <c r="D78" i="3"/>
  <c r="D79" i="3" a="1"/>
  <c r="D79" i="3" s="1"/>
  <c r="D80" i="3" a="1"/>
  <c r="D80" i="3" s="1"/>
  <c r="D81" i="3" a="1"/>
  <c r="D81" i="3" s="1"/>
  <c r="D82" i="3" a="1"/>
  <c r="D82" i="3"/>
  <c r="D83" i="3" a="1"/>
  <c r="D83" i="3" s="1"/>
  <c r="D84" i="3" a="1"/>
  <c r="D84" i="3" s="1"/>
  <c r="D85" i="3" a="1"/>
  <c r="D85" i="3" s="1"/>
  <c r="D86" i="3" a="1"/>
  <c r="D86" i="3"/>
  <c r="D87" i="3" a="1"/>
  <c r="D87" i="3" s="1"/>
  <c r="D88" i="3" a="1"/>
  <c r="D88" i="3" s="1"/>
  <c r="D89" i="3" a="1"/>
  <c r="D89" i="3" s="1"/>
  <c r="D90" i="3" a="1"/>
  <c r="D90" i="3"/>
  <c r="D91" i="3" a="1"/>
  <c r="D91" i="3" s="1"/>
  <c r="D92" i="3" a="1"/>
  <c r="D92" i="3" s="1"/>
  <c r="D93" i="3" a="1"/>
  <c r="D93" i="3" s="1"/>
  <c r="D94" i="3" a="1"/>
  <c r="D94" i="3"/>
  <c r="D95" i="3" a="1"/>
  <c r="D95" i="3" s="1"/>
  <c r="D96" i="3" a="1"/>
  <c r="D96" i="3" s="1"/>
  <c r="D97" i="3" a="1"/>
  <c r="D97" i="3" s="1"/>
  <c r="D98" i="3" a="1"/>
  <c r="D98" i="3"/>
  <c r="D99" i="3" a="1"/>
  <c r="D99" i="3" s="1"/>
  <c r="D100" i="3" a="1"/>
  <c r="D100" i="3" s="1"/>
  <c r="D101" i="3" a="1"/>
  <c r="D101" i="3" s="1"/>
  <c r="D102" i="3" a="1"/>
  <c r="D102" i="3"/>
  <c r="D103" i="3" a="1"/>
  <c r="D103" i="3" s="1"/>
  <c r="D104" i="3" a="1"/>
  <c r="D104" i="3" s="1"/>
  <c r="D105" i="3" a="1"/>
  <c r="D105" i="3" s="1"/>
  <c r="D106" i="3" a="1"/>
  <c r="D106" i="3"/>
  <c r="D107" i="3" a="1"/>
  <c r="D107" i="3" s="1"/>
  <c r="D108" i="3" a="1"/>
  <c r="D108" i="3" s="1"/>
  <c r="D109" i="3" a="1"/>
  <c r="D109" i="3" s="1"/>
  <c r="D110" i="3" a="1"/>
  <c r="D110" i="3"/>
  <c r="D111" i="3" a="1"/>
  <c r="D111" i="3" s="1"/>
  <c r="D112" i="3" a="1"/>
  <c r="D112" i="3" s="1"/>
  <c r="D113" i="3" a="1"/>
  <c r="D113" i="3" s="1"/>
  <c r="D114" i="3" a="1"/>
  <c r="D114" i="3"/>
  <c r="D115" i="3" a="1"/>
  <c r="D115" i="3" s="1"/>
  <c r="D116" i="3" a="1"/>
  <c r="D116" i="3" s="1"/>
  <c r="D117" i="3" a="1"/>
  <c r="D117" i="3" s="1"/>
  <c r="D118" i="3" a="1"/>
  <c r="D118" i="3"/>
  <c r="D119" i="3" a="1"/>
  <c r="D119" i="3" s="1"/>
  <c r="D120" i="3" a="1"/>
  <c r="D120" i="3" s="1"/>
  <c r="D121" i="3" a="1"/>
  <c r="D121" i="3" s="1"/>
  <c r="D122" i="3" a="1"/>
  <c r="D122" i="3"/>
  <c r="D123" i="3" a="1"/>
  <c r="D123" i="3" s="1"/>
  <c r="D124" i="3" a="1"/>
  <c r="D124" i="3" s="1"/>
  <c r="D125" i="3" a="1"/>
  <c r="D125" i="3" s="1"/>
  <c r="D126" i="3" a="1"/>
  <c r="D126" i="3"/>
  <c r="D127" i="3" a="1"/>
  <c r="D127" i="3" s="1"/>
  <c r="D128" i="3" a="1"/>
  <c r="D128" i="3" s="1"/>
  <c r="D129" i="3" a="1"/>
  <c r="D129" i="3" s="1"/>
  <c r="D130" i="3" a="1"/>
  <c r="D130" i="3"/>
  <c r="D131" i="3" a="1"/>
  <c r="D131" i="3" s="1"/>
  <c r="D132" i="3" a="1"/>
  <c r="D132" i="3" s="1"/>
  <c r="D133" i="3" a="1"/>
  <c r="D133" i="3" s="1"/>
  <c r="D134" i="3" a="1"/>
  <c r="D134" i="3"/>
  <c r="D135" i="3" a="1"/>
  <c r="D135" i="3" s="1"/>
  <c r="D136" i="3" a="1"/>
  <c r="D136" i="3" s="1"/>
  <c r="D137" i="3" a="1"/>
  <c r="D137" i="3" s="1"/>
  <c r="D138" i="3" a="1"/>
  <c r="D138" i="3"/>
  <c r="D139" i="3" a="1"/>
  <c r="D139" i="3" s="1"/>
  <c r="D140" i="3" a="1"/>
  <c r="D140" i="3" s="1"/>
  <c r="D141" i="3" a="1"/>
  <c r="D141" i="3" s="1"/>
  <c r="D142" i="3" a="1"/>
  <c r="D142" i="3"/>
  <c r="D143" i="3" a="1"/>
  <c r="D143" i="3" s="1"/>
  <c r="D144" i="3" a="1"/>
  <c r="D144" i="3" s="1"/>
  <c r="D145" i="3" a="1"/>
  <c r="D145" i="3" s="1"/>
  <c r="D146" i="3" a="1"/>
  <c r="D146" i="3"/>
  <c r="D147" i="3" a="1"/>
  <c r="D147" i="3" s="1"/>
  <c r="D148" i="3" a="1"/>
  <c r="D148" i="3" s="1"/>
  <c r="D149" i="3" a="1"/>
  <c r="D149" i="3" s="1"/>
  <c r="D150" i="3" a="1"/>
  <c r="D150" i="3"/>
  <c r="D151" i="3" a="1"/>
  <c r="D151" i="3" s="1"/>
  <c r="D152" i="3" a="1"/>
  <c r="D152" i="3" s="1"/>
  <c r="D153" i="3" a="1"/>
  <c r="D153" i="3" s="1"/>
  <c r="D154" i="3" a="1"/>
  <c r="D154" i="3"/>
  <c r="D155" i="3" a="1"/>
  <c r="D155" i="3" s="1"/>
  <c r="D156" i="3" a="1"/>
  <c r="D156" i="3" s="1"/>
  <c r="D157" i="3" a="1"/>
  <c r="D157" i="3" s="1"/>
  <c r="D158" i="3" a="1"/>
  <c r="D158" i="3"/>
  <c r="D159" i="3" a="1"/>
  <c r="D159" i="3" s="1"/>
  <c r="D160" i="3" a="1"/>
  <c r="D160" i="3" s="1"/>
  <c r="D161" i="3" a="1"/>
  <c r="D161" i="3" s="1"/>
  <c r="D162" i="3" a="1"/>
  <c r="D162" i="3"/>
  <c r="D163" i="3" a="1"/>
  <c r="D163" i="3" s="1"/>
  <c r="D164" i="3" a="1"/>
  <c r="D164" i="3" s="1"/>
  <c r="D165" i="3" a="1"/>
  <c r="D165" i="3" s="1"/>
  <c r="D166" i="3" a="1"/>
  <c r="D166" i="3"/>
  <c r="D167" i="3" a="1"/>
  <c r="D167" i="3" s="1"/>
  <c r="D168" i="3" a="1"/>
  <c r="D168" i="3" s="1"/>
  <c r="D169" i="3" a="1"/>
  <c r="D169" i="3" s="1"/>
  <c r="D170" i="3" a="1"/>
  <c r="D170" i="3"/>
  <c r="D171" i="3" a="1"/>
  <c r="D171" i="3" s="1"/>
  <c r="D172" i="3" a="1"/>
  <c r="D172" i="3" s="1"/>
  <c r="D173" i="3" a="1"/>
  <c r="D173" i="3" s="1"/>
  <c r="D174" i="3" a="1"/>
  <c r="D174" i="3"/>
  <c r="D175" i="3" a="1"/>
  <c r="D175" i="3" s="1"/>
  <c r="D176" i="3" a="1"/>
  <c r="D176" i="3" s="1"/>
  <c r="D177" i="3" a="1"/>
  <c r="D177" i="3" s="1"/>
  <c r="D178" i="3" a="1"/>
  <c r="D178" i="3"/>
  <c r="D179" i="3" a="1"/>
  <c r="D179" i="3" s="1"/>
  <c r="D180" i="3" a="1"/>
  <c r="D180" i="3" s="1"/>
  <c r="D181" i="3" a="1"/>
  <c r="D181" i="3" s="1"/>
  <c r="D182" i="3" a="1"/>
  <c r="D182" i="3"/>
  <c r="D183" i="3" a="1"/>
  <c r="D183" i="3" s="1"/>
  <c r="D184" i="3" a="1"/>
  <c r="D184" i="3" s="1"/>
  <c r="D185" i="3" a="1"/>
  <c r="D185" i="3" s="1"/>
  <c r="D186" i="3" a="1"/>
  <c r="D186" i="3"/>
  <c r="D187" i="3" a="1"/>
  <c r="D187" i="3" s="1"/>
  <c r="D188" i="3" a="1"/>
  <c r="D188" i="3" s="1"/>
  <c r="D189" i="3" a="1"/>
  <c r="D189" i="3" s="1"/>
  <c r="D190" i="3" a="1"/>
  <c r="D190" i="3"/>
  <c r="D191" i="3" a="1"/>
  <c r="D191" i="3" s="1"/>
  <c r="D192" i="3" a="1"/>
  <c r="D192" i="3" s="1"/>
  <c r="D193" i="3" a="1"/>
  <c r="D193" i="3" s="1"/>
  <c r="D194" i="3" a="1"/>
  <c r="D194" i="3"/>
  <c r="D195" i="3" a="1"/>
  <c r="D195" i="3" s="1"/>
  <c r="D196" i="3" a="1"/>
  <c r="D196" i="3" s="1"/>
  <c r="D197" i="3" a="1"/>
  <c r="D197" i="3" s="1"/>
  <c r="D198" i="3" a="1"/>
  <c r="D198" i="3"/>
  <c r="D199" i="3" a="1"/>
  <c r="D199" i="3"/>
  <c r="D200" i="3" a="1"/>
  <c r="D200" i="3"/>
  <c r="D201" i="3" a="1"/>
  <c r="D201" i="3"/>
  <c r="D202" i="3" a="1"/>
  <c r="D202" i="3"/>
  <c r="D203" i="3" a="1"/>
  <c r="D203" i="3"/>
  <c r="D204" i="3" a="1"/>
  <c r="D204" i="3"/>
  <c r="D205" i="3" a="1"/>
  <c r="D205" i="3"/>
  <c r="D206" i="3" a="1"/>
  <c r="D206" i="3"/>
  <c r="D207" i="3" a="1"/>
  <c r="D207" i="3"/>
  <c r="D208" i="3" a="1"/>
  <c r="D208" i="3"/>
  <c r="D209" i="3" a="1"/>
  <c r="D209" i="3"/>
  <c r="D210" i="3" a="1"/>
  <c r="D210" i="3"/>
  <c r="D211" i="3" a="1"/>
  <c r="D211" i="3"/>
  <c r="D212" i="3" a="1"/>
  <c r="D212" i="3"/>
  <c r="D213" i="3" a="1"/>
  <c r="D213" i="3"/>
  <c r="D214" i="3" a="1"/>
  <c r="D214" i="3"/>
  <c r="D215" i="3" a="1"/>
  <c r="D215" i="3"/>
  <c r="D216" i="3" a="1"/>
  <c r="D216" i="3"/>
  <c r="D217" i="3" a="1"/>
  <c r="D217" i="3"/>
  <c r="D218" i="3" a="1"/>
  <c r="D218" i="3"/>
  <c r="D219" i="3" a="1"/>
  <c r="D219" i="3"/>
  <c r="D220" i="3" a="1"/>
  <c r="D220" i="3"/>
  <c r="D221" i="3" a="1"/>
  <c r="D221" i="3"/>
  <c r="D222" i="3" a="1"/>
  <c r="D222" i="3"/>
  <c r="D223" i="3" a="1"/>
  <c r="D223" i="3"/>
  <c r="D28" i="3" a="1"/>
  <c r="D28" i="3"/>
  <c r="D3" i="3" a="1"/>
  <c r="D3" i="3" s="1"/>
  <c r="D4" i="3" a="1"/>
  <c r="D4" i="3" s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19" i="3" a="1"/>
  <c r="D19" i="3" s="1"/>
  <c r="D20" i="3" a="1"/>
  <c r="D20" i="3" s="1"/>
  <c r="D21" i="3" a="1"/>
  <c r="D21" i="3" s="1"/>
  <c r="D22" i="3" a="1"/>
  <c r="D22" i="3" s="1"/>
  <c r="D23" i="3" a="1"/>
  <c r="D23" i="3" s="1"/>
  <c r="D24" i="3" a="1"/>
  <c r="D24" i="3" s="1"/>
  <c r="D25" i="3" a="1"/>
  <c r="D25" i="3" s="1"/>
  <c r="D26" i="3" a="1"/>
  <c r="D26" i="3"/>
  <c r="D27" i="3" a="1"/>
  <c r="D27" i="3" s="1"/>
  <c r="G41" i="4"/>
  <c r="G40" i="4"/>
  <c r="G136" i="4"/>
  <c r="G299" i="4"/>
  <c r="G298" i="4"/>
  <c r="G297" i="4"/>
  <c r="G181" i="4"/>
  <c r="G180" i="4"/>
  <c r="G179" i="4"/>
  <c r="G178" i="4"/>
  <c r="G296" i="4"/>
  <c r="G135" i="4"/>
  <c r="G134" i="4"/>
  <c r="G39" i="4"/>
  <c r="G177" i="4"/>
  <c r="G176" i="4"/>
  <c r="G133" i="4"/>
  <c r="G132" i="4"/>
  <c r="G38" i="4"/>
  <c r="G131" i="4"/>
  <c r="G175" i="4"/>
  <c r="G130" i="4"/>
  <c r="G174" i="4"/>
  <c r="G293" i="4"/>
  <c r="G129" i="4"/>
  <c r="G128" i="4"/>
  <c r="G127" i="4"/>
  <c r="G126" i="4"/>
  <c r="G170" i="4"/>
  <c r="G169" i="4"/>
  <c r="G125" i="4"/>
  <c r="G291" i="4"/>
  <c r="G290" i="4"/>
  <c r="G124" i="4"/>
  <c r="G37" i="4"/>
  <c r="G123" i="4"/>
  <c r="G289" i="4"/>
  <c r="G36" i="4"/>
  <c r="G288" i="4"/>
  <c r="G287" i="4"/>
  <c r="G122" i="4"/>
  <c r="G121" i="4"/>
  <c r="G285" i="4"/>
  <c r="G284" i="4"/>
  <c r="G283" i="4"/>
  <c r="G282" i="4"/>
  <c r="G281" i="4"/>
  <c r="G280" i="4"/>
  <c r="G120" i="4"/>
  <c r="G279" i="4"/>
  <c r="G119" i="4"/>
  <c r="G118" i="4"/>
  <c r="G278" i="4"/>
  <c r="G117" i="4"/>
  <c r="G277" i="4"/>
  <c r="G116" i="4"/>
  <c r="G276" i="4"/>
  <c r="G275" i="4"/>
  <c r="G274" i="4"/>
  <c r="G115" i="4"/>
  <c r="G35" i="4"/>
  <c r="G114" i="4"/>
  <c r="G273" i="4"/>
  <c r="G272" i="4"/>
  <c r="G113" i="4"/>
  <c r="G271" i="4"/>
  <c r="G270" i="4"/>
  <c r="G269" i="4"/>
  <c r="G268" i="4"/>
  <c r="G112" i="4"/>
  <c r="G111" i="4"/>
  <c r="G110" i="4"/>
  <c r="G109" i="4"/>
  <c r="G108" i="4"/>
  <c r="G266" i="4"/>
  <c r="G168" i="4"/>
  <c r="G107" i="4"/>
  <c r="G34" i="4"/>
  <c r="G106" i="4"/>
  <c r="G265" i="4"/>
  <c r="G167" i="4"/>
  <c r="G264" i="4"/>
  <c r="G105" i="4"/>
  <c r="G263" i="4"/>
  <c r="G104" i="4"/>
  <c r="G166" i="4"/>
  <c r="G103" i="4"/>
  <c r="G262" i="4"/>
  <c r="G165" i="4"/>
  <c r="G33" i="4"/>
  <c r="G164" i="4"/>
  <c r="G163" i="4"/>
  <c r="G32" i="4"/>
  <c r="G102" i="4"/>
  <c r="G261" i="4"/>
  <c r="G260" i="4"/>
  <c r="G259" i="4"/>
  <c r="G258" i="4"/>
  <c r="G162" i="4"/>
  <c r="G257" i="4"/>
  <c r="G101" i="4"/>
  <c r="G256" i="4"/>
  <c r="G100" i="4"/>
  <c r="G255" i="4"/>
  <c r="G254" i="4"/>
  <c r="G161" i="4"/>
  <c r="G31" i="4"/>
  <c r="G99" i="4"/>
  <c r="G30" i="4"/>
  <c r="G253" i="4"/>
  <c r="G252" i="4"/>
  <c r="G251" i="4"/>
  <c r="G250" i="4"/>
  <c r="G98" i="4"/>
  <c r="G97" i="4"/>
  <c r="G160" i="4"/>
  <c r="G159" i="4"/>
  <c r="G96" i="4"/>
  <c r="G29" i="4"/>
  <c r="G95" i="4"/>
  <c r="G249" i="4"/>
  <c r="G158" i="4"/>
  <c r="G94" i="4"/>
  <c r="G157" i="4"/>
  <c r="G93" i="4"/>
  <c r="G248" i="4"/>
  <c r="G156" i="4"/>
  <c r="G247" i="4"/>
  <c r="G92" i="4"/>
  <c r="G28" i="4"/>
  <c r="G246" i="4"/>
  <c r="G91" i="4"/>
  <c r="G27" i="4"/>
  <c r="G155" i="4"/>
  <c r="G245" i="4"/>
  <c r="G90" i="4"/>
  <c r="G244" i="4"/>
  <c r="G26" i="4"/>
  <c r="G89" i="4"/>
  <c r="G243" i="4"/>
  <c r="G154" i="4"/>
  <c r="G88" i="4"/>
  <c r="G242" i="4"/>
  <c r="G25" i="4"/>
  <c r="G241" i="4"/>
  <c r="G24" i="4"/>
  <c r="G87" i="4"/>
  <c r="G240" i="4"/>
  <c r="G23" i="4"/>
  <c r="G153" i="4"/>
  <c r="G86" i="4"/>
  <c r="G85" i="4"/>
  <c r="G84" i="4"/>
  <c r="G152" i="4"/>
  <c r="G83" i="4"/>
  <c r="G22" i="4"/>
  <c r="G82" i="4"/>
  <c r="G239" i="4"/>
  <c r="G151" i="4"/>
  <c r="G81" i="4"/>
  <c r="G21" i="4"/>
  <c r="G80" i="4"/>
  <c r="G150" i="4"/>
  <c r="G20" i="4"/>
  <c r="G79" i="4"/>
  <c r="G19" i="4"/>
  <c r="G238" i="4"/>
  <c r="G149" i="4"/>
  <c r="G18" i="4"/>
  <c r="G237" i="4"/>
  <c r="G78" i="4"/>
  <c r="G236" i="4"/>
  <c r="G17" i="4"/>
  <c r="G77" i="4"/>
  <c r="G235" i="4"/>
  <c r="G234" i="4"/>
  <c r="G233" i="4"/>
  <c r="G232" i="4"/>
  <c r="G16" i="4"/>
  <c r="G76" i="4"/>
  <c r="G15" i="4"/>
  <c r="G231" i="4"/>
  <c r="G148" i="4"/>
  <c r="G14" i="4"/>
  <c r="G147" i="4"/>
  <c r="G75" i="4"/>
  <c r="G230" i="4"/>
  <c r="G13" i="4"/>
  <c r="G229" i="4"/>
  <c r="G146" i="4"/>
  <c r="G12" i="4"/>
  <c r="G74" i="4"/>
  <c r="G73" i="4"/>
  <c r="G11" i="4"/>
  <c r="G145" i="4"/>
  <c r="G228" i="4"/>
  <c r="G144" i="4"/>
  <c r="G227" i="4"/>
  <c r="G72" i="4"/>
  <c r="G226" i="4"/>
  <c r="G71" i="4"/>
  <c r="G225" i="4"/>
  <c r="G224" i="4"/>
  <c r="G10" i="4"/>
  <c r="G70" i="4"/>
  <c r="G223" i="4"/>
  <c r="G143" i="4"/>
  <c r="G9" i="4"/>
  <c r="G68" i="4"/>
  <c r="G222" i="4"/>
  <c r="G8" i="4"/>
  <c r="G142" i="4"/>
  <c r="G221" i="4"/>
  <c r="G220" i="4"/>
  <c r="G67" i="4"/>
  <c r="G141" i="4"/>
  <c r="G219" i="4"/>
  <c r="G7" i="4"/>
  <c r="G66" i="4"/>
  <c r="G218" i="4"/>
  <c r="G217" i="4"/>
  <c r="G216" i="4"/>
  <c r="G140" i="4"/>
  <c r="G215" i="4"/>
  <c r="G65" i="4"/>
  <c r="G214" i="4"/>
  <c r="G64" i="4"/>
  <c r="G213" i="4"/>
  <c r="G212" i="4"/>
  <c r="G63" i="4"/>
  <c r="G62" i="4"/>
  <c r="G211" i="4"/>
  <c r="G210" i="4"/>
  <c r="G61" i="4"/>
  <c r="G209" i="4"/>
  <c r="G208" i="4"/>
  <c r="G207" i="4"/>
  <c r="G60" i="4"/>
  <c r="G59" i="4"/>
  <c r="G206" i="4"/>
  <c r="G205" i="4"/>
  <c r="G204" i="4"/>
  <c r="G203" i="4"/>
  <c r="G58" i="4"/>
  <c r="G6" i="4"/>
  <c r="G202" i="4"/>
  <c r="G201" i="4"/>
  <c r="G5" i="4"/>
  <c r="G200" i="4"/>
  <c r="G57" i="4"/>
  <c r="G199" i="4"/>
  <c r="G198" i="4"/>
  <c r="G197" i="4"/>
  <c r="G139" i="4"/>
  <c r="G196" i="4"/>
  <c r="G4" i="4"/>
  <c r="G56" i="4"/>
  <c r="G55" i="4"/>
  <c r="G195" i="4"/>
  <c r="G194" i="4"/>
  <c r="G54" i="4"/>
  <c r="G53" i="4"/>
  <c r="G3" i="4"/>
  <c r="G193" i="4"/>
  <c r="G138" i="4"/>
  <c r="G2" i="4"/>
  <c r="G192" i="4"/>
  <c r="G191" i="4"/>
  <c r="G52" i="4"/>
  <c r="G51" i="4"/>
  <c r="G50" i="4"/>
  <c r="G137" i="4"/>
  <c r="G49" i="4"/>
  <c r="G190" i="4"/>
  <c r="G48" i="4"/>
  <c r="G189" i="4"/>
  <c r="G188" i="4"/>
  <c r="G47" i="4"/>
  <c r="G186" i="4"/>
  <c r="G46" i="4"/>
  <c r="G185" i="4"/>
  <c r="G45" i="4"/>
  <c r="G184" i="4"/>
  <c r="G44" i="4"/>
  <c r="G183" i="4"/>
  <c r="G43" i="4"/>
  <c r="G42" i="4"/>
  <c r="G182" i="4"/>
  <c r="Y300" i="3" l="1"/>
  <c r="Y136" i="3"/>
  <c r="Y299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Y298" i="3"/>
  <c r="Y297" i="3"/>
  <c r="Y296" i="3"/>
  <c r="Y135" i="3"/>
  <c r="Y295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Y134" i="3"/>
  <c r="Y133" i="3"/>
  <c r="Y132" i="3"/>
  <c r="Y131" i="3"/>
  <c r="Y130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Y179" i="3" s="1"/>
  <c r="Y294" i="3"/>
  <c r="Y293" i="3"/>
  <c r="Y129" i="3"/>
  <c r="Y128" i="3"/>
  <c r="Y127" i="3"/>
  <c r="Y126" i="3"/>
  <c r="Y125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Y178" i="3" s="1"/>
  <c r="Y292" i="3"/>
  <c r="Y124" i="3"/>
  <c r="Y291" i="3"/>
  <c r="Y123" i="3"/>
  <c r="Y290" i="3"/>
  <c r="Y122" i="3"/>
  <c r="Y121" i="3"/>
  <c r="Y120" i="3"/>
  <c r="Y289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Y288" i="3"/>
  <c r="Y287" i="3"/>
  <c r="Y119" i="3"/>
  <c r="Y118" i="3"/>
  <c r="Y286" i="3"/>
  <c r="Y117" i="3"/>
  <c r="Y285" i="3"/>
  <c r="Y284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Y283" i="3"/>
  <c r="Y116" i="3"/>
  <c r="Y282" i="3"/>
  <c r="Y281" i="3"/>
  <c r="Y280" i="3"/>
  <c r="Y279" i="3"/>
  <c r="Y115" i="3"/>
  <c r="Y278" i="3"/>
  <c r="Y114" i="3"/>
  <c r="Y113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Y112" i="3"/>
  <c r="Y277" i="3"/>
  <c r="Y111" i="3"/>
  <c r="Y276" i="3"/>
  <c r="Y110" i="3"/>
  <c r="Y109" i="3"/>
  <c r="Y275" i="3"/>
  <c r="Y274" i="3"/>
  <c r="Y273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Y174" i="3" s="1"/>
  <c r="Y108" i="3"/>
  <c r="Y107" i="3"/>
  <c r="Y272" i="3"/>
  <c r="Y271" i="3"/>
  <c r="Y106" i="3"/>
  <c r="Y270" i="3"/>
  <c r="Y269" i="3"/>
  <c r="Y268" i="3"/>
  <c r="Y267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Y105" i="3"/>
  <c r="Y104" i="3"/>
  <c r="Y103" i="3"/>
  <c r="Y102" i="3"/>
  <c r="Y266" i="3"/>
  <c r="Y101" i="3"/>
  <c r="Y265" i="3"/>
  <c r="Y100" i="3"/>
  <c r="Y41" i="3"/>
  <c r="Y99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Y264" i="3"/>
  <c r="Y263" i="3"/>
  <c r="Y98" i="3"/>
  <c r="Y262" i="3"/>
  <c r="Y97" i="3"/>
  <c r="Y96" i="3"/>
  <c r="Y26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Y40" i="3"/>
  <c r="Y95" i="3"/>
  <c r="Y260" i="3"/>
  <c r="Y259" i="3"/>
  <c r="Y258" i="3"/>
  <c r="Y39" i="3"/>
  <c r="Y257" i="3"/>
  <c r="Y256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Y94" i="3"/>
  <c r="Y255" i="3"/>
  <c r="Y93" i="3"/>
  <c r="Y38" i="3"/>
  <c r="Y254" i="3"/>
  <c r="Y253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Y37" i="3"/>
  <c r="Y92" i="3"/>
  <c r="Y252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Y251" i="3"/>
  <c r="Y91" i="3"/>
  <c r="Y250" i="3"/>
  <c r="Y249" i="3"/>
  <c r="Y90" i="3"/>
  <c r="Y3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Y89" i="3"/>
  <c r="Y88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Y248" i="3"/>
  <c r="Y87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Y247" i="3"/>
  <c r="Y35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Y86" i="3"/>
  <c r="Y85" i="3"/>
  <c r="Y246" i="3"/>
  <c r="Y245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Y84" i="3"/>
  <c r="Y244" i="3"/>
  <c r="Y34" i="3"/>
  <c r="Y243" i="3"/>
  <c r="Y83" i="3"/>
  <c r="Y242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Y82" i="3"/>
  <c r="Y81" i="3"/>
  <c r="Y241" i="3"/>
  <c r="Y80" i="3"/>
  <c r="Y33" i="3"/>
  <c r="Y240" i="3"/>
  <c r="Y79" i="3"/>
  <c r="Y239" i="3"/>
  <c r="Y238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Y237" i="3"/>
  <c r="Y78" i="3"/>
  <c r="Y32" i="3"/>
  <c r="Y236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Y31" i="3"/>
  <c r="Y7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Y235" i="3"/>
  <c r="Y234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Y233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Y232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Y30" i="3"/>
  <c r="Y76" i="3"/>
  <c r="Y231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Y75" i="3"/>
  <c r="Y230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Y74" i="3"/>
  <c r="Y73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Y229" i="3"/>
  <c r="Y29" i="3"/>
  <c r="Y228" i="3"/>
  <c r="Y227" i="3"/>
  <c r="Y72" i="3"/>
  <c r="Y226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Y71" i="3"/>
  <c r="Y225" i="3"/>
  <c r="Y28" i="3"/>
  <c r="Y224" i="3"/>
  <c r="Y70" i="3"/>
  <c r="Y223" i="3"/>
  <c r="Y27" i="3"/>
  <c r="Y69" i="3"/>
  <c r="Y26" i="3"/>
  <c r="Y68" i="3"/>
  <c r="Y25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Y222" i="3"/>
  <c r="Y24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Y221" i="3"/>
  <c r="Y220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Y23" i="3"/>
  <c r="Y67" i="3"/>
  <c r="Y219" i="3"/>
  <c r="Y22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Y21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Y66" i="3"/>
  <c r="Y218" i="3"/>
  <c r="Y217" i="3"/>
  <c r="Y216" i="3"/>
  <c r="Y20" i="3"/>
  <c r="Y215" i="3"/>
  <c r="Y65" i="3"/>
  <c r="Y214" i="3"/>
  <c r="Y64" i="3"/>
  <c r="Y213" i="3"/>
  <c r="Y19" i="3"/>
  <c r="Y212" i="3"/>
  <c r="Y18" i="3"/>
  <c r="Y63" i="3"/>
  <c r="Y62" i="3"/>
  <c r="Y211" i="3"/>
  <c r="Y210" i="3"/>
  <c r="Y61" i="3"/>
  <c r="Y209" i="3"/>
  <c r="Y208" i="3"/>
  <c r="Y207" i="3"/>
  <c r="Y60" i="3"/>
  <c r="Y59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Y17" i="3"/>
  <c r="Y206" i="3"/>
  <c r="Y205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Y16" i="3"/>
  <c r="Y204" i="3"/>
  <c r="Y203" i="3"/>
  <c r="Y58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Y202" i="3"/>
  <c r="Y15" i="3"/>
  <c r="Y201" i="3"/>
  <c r="Y200" i="3"/>
  <c r="Y57" i="3"/>
  <c r="Y199" i="3"/>
  <c r="Y198" i="3"/>
  <c r="Y197" i="3"/>
  <c r="Y14" i="3"/>
  <c r="Y196" i="3"/>
  <c r="Y56" i="3"/>
  <c r="Y55" i="3"/>
  <c r="Y195" i="3"/>
  <c r="Y13" i="3"/>
  <c r="Y194" i="3"/>
  <c r="Y12" i="3"/>
  <c r="Y54" i="3"/>
  <c r="Y53" i="3"/>
  <c r="Y11" i="3"/>
  <c r="Y193" i="3"/>
  <c r="Y10" i="3"/>
  <c r="Y192" i="3"/>
  <c r="Y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Y191" i="3"/>
  <c r="Y8" i="3"/>
  <c r="Y52" i="3"/>
  <c r="Y51" i="3"/>
  <c r="Y50" i="3"/>
  <c r="Y49" i="3"/>
  <c r="Y190" i="3"/>
  <c r="Y48" i="3"/>
  <c r="Y189" i="3"/>
  <c r="Y188" i="3"/>
  <c r="Y47" i="3"/>
  <c r="Y7" i="3"/>
  <c r="Y187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Y6" i="3"/>
  <c r="Y186" i="3"/>
  <c r="Y5" i="3"/>
  <c r="Y46" i="3"/>
  <c r="Y185" i="3"/>
  <c r="Y4" i="3"/>
  <c r="Y45" i="3"/>
  <c r="Y184" i="3"/>
  <c r="Y44" i="3"/>
  <c r="Y183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Y3" i="3"/>
  <c r="Y43" i="3"/>
  <c r="Y42" i="3"/>
  <c r="Y2" i="3"/>
  <c r="Y182" i="3"/>
  <c r="Y142" i="3" l="1"/>
  <c r="Y146" i="3"/>
  <c r="Y151" i="3"/>
  <c r="Y156" i="3"/>
  <c r="Y160" i="3"/>
  <c r="Y166" i="3"/>
  <c r="Y138" i="3"/>
  <c r="Y141" i="3"/>
  <c r="Y143" i="3"/>
  <c r="Y150" i="3"/>
  <c r="Y154" i="3"/>
  <c r="Y162" i="3"/>
  <c r="Y165" i="3"/>
  <c r="Y169" i="3"/>
  <c r="Y181" i="3"/>
  <c r="Y137" i="3"/>
  <c r="Y144" i="3"/>
  <c r="Y148" i="3"/>
  <c r="Y149" i="3"/>
  <c r="Y158" i="3"/>
  <c r="Y161" i="3"/>
  <c r="Y164" i="3"/>
  <c r="Y168" i="3"/>
  <c r="Y170" i="3"/>
  <c r="Y173" i="3"/>
  <c r="Y176" i="3"/>
  <c r="Y177" i="3"/>
  <c r="Y180" i="3"/>
  <c r="Y139" i="3"/>
  <c r="Y140" i="3"/>
  <c r="Y145" i="3"/>
  <c r="Y147" i="3"/>
  <c r="Y152" i="3"/>
  <c r="Y153" i="3"/>
  <c r="Y155" i="3"/>
  <c r="Y157" i="3"/>
  <c r="Y159" i="3"/>
  <c r="Y163" i="3"/>
  <c r="Y167" i="3"/>
  <c r="Y171" i="3"/>
  <c r="Y172" i="3"/>
  <c r="Y17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<sst xmlns="http://schemas.openxmlformats.org/spreadsheetml/2006/main" count="4040" uniqueCount="445">
  <si>
    <t>Year</t>
  </si>
  <si>
    <t>Player</t>
  </si>
  <si>
    <t>Position</t>
  </si>
  <si>
    <t>Team</t>
  </si>
  <si>
    <t>ADP</t>
  </si>
  <si>
    <t>TTL</t>
  </si>
  <si>
    <t>AVG</t>
  </si>
  <si>
    <t>Round</t>
  </si>
  <si>
    <t>Position Pick</t>
  </si>
  <si>
    <t>Boom 10</t>
  </si>
  <si>
    <t>Boom 15</t>
  </si>
  <si>
    <t>Boom 20</t>
  </si>
  <si>
    <t>Boom 25</t>
  </si>
  <si>
    <t>Boom 30</t>
  </si>
  <si>
    <t>Boom 10%</t>
  </si>
  <si>
    <t>Boom 15%</t>
  </si>
  <si>
    <t>Boom 20%</t>
  </si>
  <si>
    <t>Boom 25%</t>
  </si>
  <si>
    <t>Boom 30%</t>
  </si>
  <si>
    <t>Ja'Marr Chase</t>
  </si>
  <si>
    <t>WR</t>
  </si>
  <si>
    <t>CIN</t>
  </si>
  <si>
    <t>Bijan Robinson</t>
  </si>
  <si>
    <t>RB</t>
  </si>
  <si>
    <t>ATL</t>
  </si>
  <si>
    <t>Christian McCaffrey</t>
  </si>
  <si>
    <t>SF</t>
  </si>
  <si>
    <t>Brock Bowers</t>
  </si>
  <si>
    <t>TE</t>
  </si>
  <si>
    <t>LV</t>
  </si>
  <si>
    <t>Justin Jefferson</t>
  </si>
  <si>
    <t>MIN</t>
  </si>
  <si>
    <t>Saquon Barkley</t>
  </si>
  <si>
    <t>PHI</t>
  </si>
  <si>
    <t>CeeDee Lamb</t>
  </si>
  <si>
    <t>DAL</t>
  </si>
  <si>
    <t>Jahmyr Gibbs</t>
  </si>
  <si>
    <t>DET</t>
  </si>
  <si>
    <t>Nico Collins</t>
  </si>
  <si>
    <t>HOU</t>
  </si>
  <si>
    <t>Derrick Henry</t>
  </si>
  <si>
    <t>BAL</t>
  </si>
  <si>
    <t>Malik Nabers</t>
  </si>
  <si>
    <t>NYG</t>
  </si>
  <si>
    <t>Trey McBride</t>
  </si>
  <si>
    <t>ARI</t>
  </si>
  <si>
    <t>Amon-Ra St. Brown</t>
  </si>
  <si>
    <t>Ashton Jeanty</t>
  </si>
  <si>
    <t>Puka Nacua</t>
  </si>
  <si>
    <t>LAR</t>
  </si>
  <si>
    <t>Brian Thomas Jr.</t>
  </si>
  <si>
    <t>JAC</t>
  </si>
  <si>
    <t>Chase Brown</t>
  </si>
  <si>
    <t>Drake London</t>
  </si>
  <si>
    <t>Jonathan Taylor</t>
  </si>
  <si>
    <t>IND</t>
  </si>
  <si>
    <t>Bucky Irving</t>
  </si>
  <si>
    <t>TB</t>
  </si>
  <si>
    <t>De'Von Achane</t>
  </si>
  <si>
    <t>MIA</t>
  </si>
  <si>
    <t>Josh Jacobs</t>
  </si>
  <si>
    <t>GB</t>
  </si>
  <si>
    <t>A.J. Brown</t>
  </si>
  <si>
    <t>George Kittle</t>
  </si>
  <si>
    <t>Ladd McConkey</t>
  </si>
  <si>
    <t>LAC</t>
  </si>
  <si>
    <t>Josh Allen</t>
  </si>
  <si>
    <t>QB</t>
  </si>
  <si>
    <t>BUF</t>
  </si>
  <si>
    <t>Tee Higgins</t>
  </si>
  <si>
    <t>Lamar Jackson</t>
  </si>
  <si>
    <t>Kyren Williams</t>
  </si>
  <si>
    <t>Omarion Hampton</t>
  </si>
  <si>
    <t>Jaxon Smith-Njigba</t>
  </si>
  <si>
    <t>SEA</t>
  </si>
  <si>
    <t>Mike Evans</t>
  </si>
  <si>
    <t>James Cook III</t>
  </si>
  <si>
    <t>TreVeyon Henderson</t>
  </si>
  <si>
    <t xml:space="preserve"> NE</t>
  </si>
  <si>
    <t>Jayden Daniels</t>
  </si>
  <si>
    <t>WAS</t>
  </si>
  <si>
    <t>Tyreek Hill</t>
  </si>
  <si>
    <t>Terry McLaurin</t>
  </si>
  <si>
    <t>Marvin Harrison Jr.</t>
  </si>
  <si>
    <t>Xavier Worthy</t>
  </si>
  <si>
    <t>KC</t>
  </si>
  <si>
    <t>Kenneth Walker III</t>
  </si>
  <si>
    <t>Davante Adams</t>
  </si>
  <si>
    <t>Jalen Hurts</t>
  </si>
  <si>
    <t>Garrett Wilson</t>
  </si>
  <si>
    <t>NYJ</t>
  </si>
  <si>
    <t>Tetairoa McMillan</t>
  </si>
  <si>
    <t>CAR</t>
  </si>
  <si>
    <t>Joe Burrow</t>
  </si>
  <si>
    <t>Sam LaPorta</t>
  </si>
  <si>
    <t>Alvin Kamara</t>
  </si>
  <si>
    <t>NO</t>
  </si>
  <si>
    <t>Courtland Sutton</t>
  </si>
  <si>
    <t>DEN</t>
  </si>
  <si>
    <t>George Pickens</t>
  </si>
  <si>
    <t>Travis Kelce</t>
  </si>
  <si>
    <t>Jameson Williams</t>
  </si>
  <si>
    <t>Emeka Egbuka</t>
  </si>
  <si>
    <t>Tyler Warren</t>
  </si>
  <si>
    <t>T.J. Hockenson</t>
  </si>
  <si>
    <t>Breece Hall</t>
  </si>
  <si>
    <t>Chuba Hubbard</t>
  </si>
  <si>
    <t>DK Metcalf</t>
  </si>
  <si>
    <t>PIT</t>
  </si>
  <si>
    <t>DJ Moore</t>
  </si>
  <si>
    <t>CHI</t>
  </si>
  <si>
    <t>Ricky Pearsall</t>
  </si>
  <si>
    <t>James Conner</t>
  </si>
  <si>
    <t>Calvin Ridley</t>
  </si>
  <si>
    <t>TEN</t>
  </si>
  <si>
    <t>DeVonta Smith</t>
  </si>
  <si>
    <t>RJ Harvey</t>
  </si>
  <si>
    <t>Tony Pollard</t>
  </si>
  <si>
    <t>Zay Flowers</t>
  </si>
  <si>
    <t>Jaylen Waddle</t>
  </si>
  <si>
    <t>D'Andre Swift</t>
  </si>
  <si>
    <t>Matthew Golden</t>
  </si>
  <si>
    <t>Isiah Pacheco</t>
  </si>
  <si>
    <t>Travis Hunter</t>
  </si>
  <si>
    <t>Deebo Samuel Sr.</t>
  </si>
  <si>
    <t>Rashee Rice</t>
  </si>
  <si>
    <t>Rome Odunze</t>
  </si>
  <si>
    <t>David Montgomery</t>
  </si>
  <si>
    <t>Evan Engram</t>
  </si>
  <si>
    <t>Patrick Mahomes II</t>
  </si>
  <si>
    <t>Mark Andrews</t>
  </si>
  <si>
    <t>Jerry Jeudy</t>
  </si>
  <si>
    <t>CLE</t>
  </si>
  <si>
    <t>Aaron Jones Sr.</t>
  </si>
  <si>
    <t>David Njoku</t>
  </si>
  <si>
    <t>Stefon Diggs</t>
  </si>
  <si>
    <t>Chris Olave</t>
  </si>
  <si>
    <t>Colston Loveland</t>
  </si>
  <si>
    <t>Baker Mayfield</t>
  </si>
  <si>
    <t>Jakobi Meyers</t>
  </si>
  <si>
    <t>Tucker Kraft</t>
  </si>
  <si>
    <t>Tyrone Tracy Jr.</t>
  </si>
  <si>
    <t>Jacory Croskey-Merritt</t>
  </si>
  <si>
    <t>Justin Fields</t>
  </si>
  <si>
    <t>Bo Nix</t>
  </si>
  <si>
    <t>Cooper Kupp</t>
  </si>
  <si>
    <t>Jordan Mason</t>
  </si>
  <si>
    <t>Dak Prescott</t>
  </si>
  <si>
    <t>Keon Coleman</t>
  </si>
  <si>
    <t>Jordan Addison</t>
  </si>
  <si>
    <t>Jaylen Warren</t>
  </si>
  <si>
    <t>Kyle Pitts Sr.</t>
  </si>
  <si>
    <t>Jauan Jennings</t>
  </si>
  <si>
    <t>Zach Charbonnet</t>
  </si>
  <si>
    <t>Khalil Shakir</t>
  </si>
  <si>
    <t>Michael Pittman Jr.</t>
  </si>
  <si>
    <t>Chris Godwin Jr.</t>
  </si>
  <si>
    <t>Dalton Kincaid</t>
  </si>
  <si>
    <t>Kyler Murray</t>
  </si>
  <si>
    <t>Travis Etienne Jr.</t>
  </si>
  <si>
    <t>J.K. Dobbins</t>
  </si>
  <si>
    <t>Caleb Williams</t>
  </si>
  <si>
    <t>Jake Ferguson</t>
  </si>
  <si>
    <t>Brock Purdy</t>
  </si>
  <si>
    <t>Josh Downs</t>
  </si>
  <si>
    <t>Nick Chubb</t>
  </si>
  <si>
    <t>Dallas Goedert</t>
  </si>
  <si>
    <t>Jared Goff</t>
  </si>
  <si>
    <t>Keenan Allen</t>
  </si>
  <si>
    <t>Javonte Williams</t>
  </si>
  <si>
    <t>Drake Maye</t>
  </si>
  <si>
    <t>Zach Ertz</t>
  </si>
  <si>
    <t>Rashid Shaheed</t>
  </si>
  <si>
    <t>Brenton Strange</t>
  </si>
  <si>
    <t>Hunter Henry</t>
  </si>
  <si>
    <t>Jayden Reed</t>
  </si>
  <si>
    <t>Chig Okonkwo</t>
  </si>
  <si>
    <t>Christian Kirk</t>
  </si>
  <si>
    <t>Jayden Higgins</t>
  </si>
  <si>
    <t>Isaiah Likely</t>
  </si>
  <si>
    <t>Cam Skattebo</t>
  </si>
  <si>
    <t>Jonnu Smith</t>
  </si>
  <si>
    <t>Mason Taylor</t>
  </si>
  <si>
    <t>Tua Tagovailoa</t>
  </si>
  <si>
    <t>DeMario Douglas</t>
  </si>
  <si>
    <t>Justin Herbert</t>
  </si>
  <si>
    <t>Dylan Sampson</t>
  </si>
  <si>
    <t>Marvin Mims Jr.</t>
  </si>
  <si>
    <t>Bryce Young</t>
  </si>
  <si>
    <t>Cade Otton</t>
  </si>
  <si>
    <t>Joshua Palmer</t>
  </si>
  <si>
    <t>Cam Ward</t>
  </si>
  <si>
    <t>Romeo Doubs</t>
  </si>
  <si>
    <t>Najee Harris</t>
  </si>
  <si>
    <t>Cedric Tillman</t>
  </si>
  <si>
    <t>Ray Davis</t>
  </si>
  <si>
    <t>Geno Smith</t>
  </si>
  <si>
    <t>Xavier Legette</t>
  </si>
  <si>
    <t>Braelon Allen</t>
  </si>
  <si>
    <t>Jerome Ford</t>
  </si>
  <si>
    <t>Mike Gesicki</t>
  </si>
  <si>
    <t>Isaac TeSlaa</t>
  </si>
  <si>
    <t>Matthew Stafford</t>
  </si>
  <si>
    <t>Rachaad White</t>
  </si>
  <si>
    <t>Hollywood Brown</t>
  </si>
  <si>
    <t>Sam Darnold</t>
  </si>
  <si>
    <t>Rashod Bateman</t>
  </si>
  <si>
    <t>Tyler Allgeier</t>
  </si>
  <si>
    <t>Darren Waller</t>
  </si>
  <si>
    <t>Wan'Dale Robinson</t>
  </si>
  <si>
    <t>Tre' Harris</t>
  </si>
  <si>
    <t>Woody Marks</t>
  </si>
  <si>
    <t>Rico Dowdle</t>
  </si>
  <si>
    <t>J.J. McCarthy</t>
  </si>
  <si>
    <t>Harold Fannin Jr.</t>
  </si>
  <si>
    <t>Kyle Williams</t>
  </si>
  <si>
    <t>Pat Freiermuth</t>
  </si>
  <si>
    <t>Will Shipley</t>
  </si>
  <si>
    <t>Darnell Mooney</t>
  </si>
  <si>
    <t>Aaron Rodgers</t>
  </si>
  <si>
    <t>Theo Johnson</t>
  </si>
  <si>
    <t>Tyjae Spears</t>
  </si>
  <si>
    <t>C.J. Stroud</t>
  </si>
  <si>
    <t>Kareem Hunt</t>
  </si>
  <si>
    <t>Dalton Schultz</t>
  </si>
  <si>
    <t>Chris Rodriguez Jr.</t>
  </si>
  <si>
    <t>Alec Pierce</t>
  </si>
  <si>
    <t>Pat Bryant</t>
  </si>
  <si>
    <t>Brian Robinson Jr.</t>
  </si>
  <si>
    <t>Quentin Johnston</t>
  </si>
  <si>
    <t>Juwan Johnson</t>
  </si>
  <si>
    <t>Elic Ayomanor</t>
  </si>
  <si>
    <t>Daniel Jones</t>
  </si>
  <si>
    <t>Keaton Mitchell</t>
  </si>
  <si>
    <t>Jaxson Dart</t>
  </si>
  <si>
    <t>Jordan Love</t>
  </si>
  <si>
    <t>Tyler Higbee</t>
  </si>
  <si>
    <t>Tory Horton</t>
  </si>
  <si>
    <t>DeAndre Hopkins</t>
  </si>
  <si>
    <t>Justice Hill</t>
  </si>
  <si>
    <t>Tyler Lockett</t>
  </si>
  <si>
    <t>DJ Giddens</t>
  </si>
  <si>
    <t>Colby Parkinson</t>
  </si>
  <si>
    <t>Troy Franklin</t>
  </si>
  <si>
    <t>Andrei Iosivas</t>
  </si>
  <si>
    <t>Jalen Coker</t>
  </si>
  <si>
    <t>Darius Slayton</t>
  </si>
  <si>
    <t>Michael Wilson</t>
  </si>
  <si>
    <t>Blake Corum</t>
  </si>
  <si>
    <t>Russell Wilson</t>
  </si>
  <si>
    <t>Dawson Knox</t>
  </si>
  <si>
    <t>Joe Flacco</t>
  </si>
  <si>
    <t>Jake Tonges</t>
  </si>
  <si>
    <t>Jack Bech</t>
  </si>
  <si>
    <t>Kendre Miller</t>
  </si>
  <si>
    <t>Kyle Monangai</t>
  </si>
  <si>
    <t>Malik Washington</t>
  </si>
  <si>
    <t>Jaylen Wright</t>
  </si>
  <si>
    <t>Calvin Austin III</t>
  </si>
  <si>
    <t>Dyami Brown</t>
  </si>
  <si>
    <t>Sean Tucker</t>
  </si>
  <si>
    <t>Spencer Rattler</t>
  </si>
  <si>
    <t>Brashard Smith</t>
  </si>
  <si>
    <t>Jalen Nailor</t>
  </si>
  <si>
    <t>Raheem Mostert</t>
  </si>
  <si>
    <t>JuJu Smith Schuster</t>
  </si>
  <si>
    <t>Jaleel McLaughlin</t>
  </si>
  <si>
    <t>Tyler Badie</t>
  </si>
  <si>
    <t>Kyle Juszczyk</t>
  </si>
  <si>
    <t>Jeremy McNichols</t>
  </si>
  <si>
    <t>Kalif Raymond</t>
  </si>
  <si>
    <t>Tez Johnson</t>
  </si>
  <si>
    <t>Luke McCaffrey</t>
  </si>
  <si>
    <t>Jalen Tolbert</t>
  </si>
  <si>
    <t>Raheim Sanders</t>
  </si>
  <si>
    <t>Olamide Zaccheaus</t>
  </si>
  <si>
    <t>Jahan Dotson</t>
  </si>
  <si>
    <t>Miles Sanders</t>
  </si>
  <si>
    <t>Tyler Shough</t>
  </si>
  <si>
    <t>Devin Singletary</t>
  </si>
  <si>
    <t>Tyrell Shavers</t>
  </si>
  <si>
    <t>Mack Hollins</t>
  </si>
  <si>
    <t>Xavier Hutchinson</t>
  </si>
  <si>
    <t>Emari Demercado</t>
  </si>
  <si>
    <t>Ollie Gordon II</t>
  </si>
  <si>
    <t>Tim Patrick</t>
  </si>
  <si>
    <t>Ameer Abdullah</t>
  </si>
  <si>
    <t>Trevor Lawrence</t>
  </si>
  <si>
    <t>Brandin Cooks</t>
  </si>
  <si>
    <t>Tank Bigsby</t>
  </si>
  <si>
    <t>Antonio Gibson</t>
  </si>
  <si>
    <t>Audric Estime</t>
  </si>
  <si>
    <t>Van Jefferson</t>
  </si>
  <si>
    <t>Zamir White</t>
  </si>
  <si>
    <t>Luther Burden III</t>
  </si>
  <si>
    <t>John Metchie III</t>
  </si>
  <si>
    <t>KaVontae Turpin</t>
  </si>
  <si>
    <t>Isaiah Bond</t>
  </si>
  <si>
    <t>Quinshon Judkins</t>
  </si>
  <si>
    <t>Jaylin Lane</t>
  </si>
  <si>
    <t>Kayshon Boutte</t>
  </si>
  <si>
    <t>Kendrick Bourne</t>
  </si>
  <si>
    <t>Kenny Gainwell</t>
  </si>
  <si>
    <t>Sterling Shepard</t>
  </si>
  <si>
    <t>Michael Penix Jr.</t>
  </si>
  <si>
    <t>LeQuint Allen Jr.</t>
  </si>
  <si>
    <t>Rhamondre Stevenson</t>
  </si>
  <si>
    <t>Adonai Mitchell</t>
  </si>
  <si>
    <t>Tyquan Thornton</t>
  </si>
  <si>
    <t>Malik Willis</t>
  </si>
  <si>
    <t>Dontayvion Wicks</t>
  </si>
  <si>
    <t>Hassan Haskins</t>
  </si>
  <si>
    <t>Shedeur Sanders</t>
  </si>
  <si>
    <t>Kimani Vidal</t>
  </si>
  <si>
    <t>Jaydon Blue</t>
  </si>
  <si>
    <t>Greg Dortch</t>
  </si>
  <si>
    <t>Trey Benson</t>
  </si>
  <si>
    <t>Tre Tucker</t>
  </si>
  <si>
    <t>Bhayshul Tuten</t>
  </si>
  <si>
    <t>Ryan Flournoy</t>
  </si>
  <si>
    <t>Michael Carter</t>
  </si>
  <si>
    <t>Rasheen Ali</t>
  </si>
  <si>
    <t>Corey Kiner</t>
  </si>
  <si>
    <t>Devin Neal</t>
  </si>
  <si>
    <t>Tommy Tremble</t>
  </si>
  <si>
    <t>Emanuel Wilson</t>
  </si>
  <si>
    <t>Davis Allen</t>
  </si>
  <si>
    <t>Devaughn Vele</t>
  </si>
  <si>
    <t>Cole Kmet</t>
  </si>
  <si>
    <t>JaylinNOel</t>
  </si>
  <si>
    <t>Isaiah Davis</t>
  </si>
  <si>
    <t>Darnell Washington</t>
  </si>
  <si>
    <t>Chris Brooks</t>
  </si>
  <si>
    <t>Kirk Cousins</t>
  </si>
  <si>
    <t>Ty Johnson</t>
  </si>
  <si>
    <t>George Holani</t>
  </si>
  <si>
    <t>Noah Fant</t>
  </si>
  <si>
    <t>Gunnar Helm</t>
  </si>
  <si>
    <t>Dillon Gabriel</t>
  </si>
  <si>
    <t>Trevor Etienne</t>
  </si>
  <si>
    <t>David Sills V</t>
  </si>
  <si>
    <t>Samaje Perine</t>
  </si>
  <si>
    <t>Demarcus Robinson</t>
  </si>
  <si>
    <t>Greg Dulcich</t>
  </si>
  <si>
    <t>Oronde Gadsden II</t>
  </si>
  <si>
    <t>Michael Mayer</t>
  </si>
  <si>
    <t>AJ Barner</t>
  </si>
  <si>
    <t>Chimere Dike</t>
  </si>
  <si>
    <t>Christian Watson</t>
  </si>
  <si>
    <t>Parker Washington</t>
  </si>
  <si>
    <t>Phil Mafah</t>
  </si>
  <si>
    <t>Mac Jones</t>
  </si>
  <si>
    <t>Jake Browning</t>
  </si>
  <si>
    <t>Isaiah Williams</t>
  </si>
  <si>
    <t>POS Rank</t>
  </si>
  <si>
    <t>2025 Player</t>
  </si>
  <si>
    <t>Jacory Croskey Merritt</t>
  </si>
  <si>
    <t>JuJu Smith0Schuster</t>
  </si>
  <si>
    <t>John Bates</t>
  </si>
  <si>
    <t>Ben Sinnott</t>
  </si>
  <si>
    <t>Luke Musgrave</t>
  </si>
  <si>
    <t>NE</t>
  </si>
  <si>
    <t>Eli Raridon</t>
  </si>
  <si>
    <t>Justin Joly</t>
  </si>
  <si>
    <t>Ja'Tavion Sanders</t>
  </si>
  <si>
    <t>Elijah Arroyo</t>
  </si>
  <si>
    <t>Noah Gray</t>
  </si>
  <si>
    <t>Max Klare</t>
  </si>
  <si>
    <t>Oscar Delp</t>
  </si>
  <si>
    <t>Eli Stowers</t>
  </si>
  <si>
    <t>Terrance Ferguson</t>
  </si>
  <si>
    <t>Kenyon Sadiq</t>
  </si>
  <si>
    <t>Eli Heidenreich</t>
  </si>
  <si>
    <t>J'Mari Taylor</t>
  </si>
  <si>
    <t>Bam Knight</t>
  </si>
  <si>
    <t>FA</t>
  </si>
  <si>
    <t>Jarquez Hunter</t>
  </si>
  <si>
    <t>Joe Mixon</t>
  </si>
  <si>
    <t>Isaac Guerendo</t>
  </si>
  <si>
    <t>Tahj Brooks</t>
  </si>
  <si>
    <t>Adam Randall</t>
  </si>
  <si>
    <t>Kaelon Black</t>
  </si>
  <si>
    <t>Jordan James</t>
  </si>
  <si>
    <t>Kaleb Johnson</t>
  </si>
  <si>
    <t>Demond Claiborne</t>
  </si>
  <si>
    <t>Malik Davis</t>
  </si>
  <si>
    <t>Seth McGowan</t>
  </si>
  <si>
    <t>MarShawn Lloyd</t>
  </si>
  <si>
    <t>Kaytron Allen</t>
  </si>
  <si>
    <t>Nicholas Singleton</t>
  </si>
  <si>
    <t>Mike Washington Jr.</t>
  </si>
  <si>
    <t>Emmett Johnson</t>
  </si>
  <si>
    <t>Jonah Coleman</t>
  </si>
  <si>
    <t>Jonathon Brooks</t>
  </si>
  <si>
    <t>Jadarian Price</t>
  </si>
  <si>
    <t>Jeremiyah Love</t>
  </si>
  <si>
    <t>Devontez Walker</t>
  </si>
  <si>
    <t>Mitch Tinsley</t>
  </si>
  <si>
    <t>Cyrus Allen</t>
  </si>
  <si>
    <t>Ashton Dulin</t>
  </si>
  <si>
    <t>CJ Daniels</t>
  </si>
  <si>
    <t>Deion Burks</t>
  </si>
  <si>
    <t>Jordan Whittington</t>
  </si>
  <si>
    <t>Kevin Coleman Jr.</t>
  </si>
  <si>
    <t>Zavion Thomas</t>
  </si>
  <si>
    <t>Savion Williams</t>
  </si>
  <si>
    <t>Tutu Atwell</t>
  </si>
  <si>
    <t>Treylon Burks</t>
  </si>
  <si>
    <t>Nick Westbrook-Ikhine</t>
  </si>
  <si>
    <t>Bryce Lance</t>
  </si>
  <si>
    <t>Brenen Thompson</t>
  </si>
  <si>
    <t>Dont'e Thornton Jr.</t>
  </si>
  <si>
    <t>Caleb Douglas</t>
  </si>
  <si>
    <t>Konata Mumpfield</t>
  </si>
  <si>
    <t>Jalen Royals</t>
  </si>
  <si>
    <t>Ja'Kobi Lane</t>
  </si>
  <si>
    <t>Skyler Bell</t>
  </si>
  <si>
    <t>Chris Brazzell II</t>
  </si>
  <si>
    <t>Malachi Fields</t>
  </si>
  <si>
    <t>Elijah Sarratt</t>
  </si>
  <si>
    <t>Chris Bell</t>
  </si>
  <si>
    <t>Zachariah Branch</t>
  </si>
  <si>
    <t>Ted Hurst III</t>
  </si>
  <si>
    <t>Tank Dell</t>
  </si>
  <si>
    <t>Germie Bernard</t>
  </si>
  <si>
    <t>De'Zhaun Stribling</t>
  </si>
  <si>
    <t>Antonio Williams</t>
  </si>
  <si>
    <t>Brandon Aiyuk</t>
  </si>
  <si>
    <t>Jaylin Noel</t>
  </si>
  <si>
    <t>Jalen McMillan</t>
  </si>
  <si>
    <t>Denzel Boston</t>
  </si>
  <si>
    <t>Omar Cooper Jr.</t>
  </si>
  <si>
    <t>KC Concepcion</t>
  </si>
  <si>
    <t>Makai Lemon</t>
  </si>
  <si>
    <t>Jordyn Tyson</t>
  </si>
  <si>
    <t>Carnell Tate</t>
  </si>
  <si>
    <t>TEAM</t>
  </si>
  <si>
    <t>PLAYER NAME</t>
  </si>
  <si>
    <t>RK</t>
  </si>
  <si>
    <t>Jacoby Brissett</t>
  </si>
  <si>
    <t>Fernando Mendoza</t>
  </si>
  <si>
    <t>Deshaun Watson</t>
  </si>
  <si>
    <t>Carson Beck</t>
  </si>
  <si>
    <t>Ty Simpson</t>
  </si>
  <si>
    <t>Anthony Richardson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</si>
</sst>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Josh%20Fantasy%20Football/2026%20Fantasy/2026%20Data/2026%20ffpc%20optimizer%20Superflex.xlsm" TargetMode="External"/><Relationship Id="rId2" Type="http://schemas.openxmlformats.org/officeDocument/2006/relationships/externalLinkPath" Target="https://d.docs.live.net/d5a94effdcb5c500/Josh%20Fantasy%20Football/2026%20Fantasy/2026%20Data/2026%20ffpc%20optimizer%20Superflex.xlsm" TargetMode="External"/><Relationship Id="rId1" Type="http://schemas.openxmlformats.org/officeDocument/2006/relationships/externalLinkPath" Target="/d5a94effdcb5c500/Josh%20Fantasy%20Football/2026%20Fantasy/2026%20Data/2026%20ffpc%20optimizer%20Superflex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Josh%20Fantasy%20Football/2026%20Fantasy/2026%20Data/2026%20Optimizer.xlsm" TargetMode="External"/><Relationship Id="rId2" Type="http://schemas.openxmlformats.org/officeDocument/2006/relationships/externalLinkPath" Target="https://d.docs.live.net/d5a94effdcb5c500/Josh%20Fantasy%20Football/2026%20Fantasy/2026%20Data/2026%20Optimizer.xlsm" TargetMode="External"/><Relationship Id="rId1" Type="http://schemas.openxmlformats.org/officeDocument/2006/relationships/externalLinkPath" Target="/d5a94effdcb5c500/Josh%20Fantasy%20Football/2026%20Fantasy/2026%20Data/2026%20Optimiz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cro1"/>
      <sheetName val="2025 Test"/>
      <sheetName val="Pos By round"/>
      <sheetName val="Draft"/>
      <sheetName val="FantasyPros_2025_Overall_ADP_Ra"/>
      <sheetName val="Results"/>
      <sheetName val="Macro2"/>
      <sheetName val="25 1000 optimizer"/>
      <sheetName val="25 1000 optimizer (2)"/>
      <sheetName val="Sheet3"/>
      <sheetName val="2025 FFPC Super"/>
      <sheetName val="FFPC TE"/>
      <sheetName val=" QB Round 9-13 FFPC"/>
      <sheetName val="Simulation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Brock Bowers</v>
          </cell>
          <cell r="B2">
            <v>17.8</v>
          </cell>
          <cell r="C2">
            <v>11.3</v>
          </cell>
          <cell r="D2">
            <v>9.8000000000000007</v>
          </cell>
          <cell r="E2">
            <v>12.100000000000001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48.7</v>
          </cell>
          <cell r="K2">
            <v>4.5999999999999996</v>
          </cell>
          <cell r="L2">
            <v>17.7</v>
          </cell>
          <cell r="M2">
            <v>14.5</v>
          </cell>
          <cell r="N2">
            <v>24.3</v>
          </cell>
          <cell r="O2">
            <v>16.600000000000001</v>
          </cell>
          <cell r="P2">
            <v>11.8</v>
          </cell>
          <cell r="Q2">
            <v>16.8</v>
          </cell>
          <cell r="R2">
            <v>0</v>
          </cell>
        </row>
        <row r="3">
          <cell r="A3" t="str">
            <v>Trey McBride</v>
          </cell>
          <cell r="B3">
            <v>15.100000000000001</v>
          </cell>
          <cell r="C3">
            <v>16.8</v>
          </cell>
          <cell r="D3">
            <v>17.8</v>
          </cell>
          <cell r="E3">
            <v>15.7</v>
          </cell>
          <cell r="F3">
            <v>11.600000000000001</v>
          </cell>
          <cell r="G3">
            <v>25.2</v>
          </cell>
          <cell r="H3">
            <v>34.4</v>
          </cell>
          <cell r="I3">
            <v>0</v>
          </cell>
          <cell r="J3">
            <v>19</v>
          </cell>
          <cell r="K3">
            <v>32.200000000000003</v>
          </cell>
          <cell r="L3">
            <v>32.5</v>
          </cell>
          <cell r="M3">
            <v>21.4</v>
          </cell>
          <cell r="N3">
            <v>26.200000000000003</v>
          </cell>
          <cell r="O3">
            <v>13.3</v>
          </cell>
          <cell r="P3">
            <v>43.4</v>
          </cell>
          <cell r="Q3">
            <v>8.6999999999999993</v>
          </cell>
          <cell r="R3">
            <v>28.6</v>
          </cell>
        </row>
        <row r="4">
          <cell r="A4" t="str">
            <v>George Kittle</v>
          </cell>
          <cell r="B4">
            <v>14.5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16.3</v>
          </cell>
          <cell r="J4">
            <v>9.1999999999999993</v>
          </cell>
          <cell r="K4">
            <v>27.9</v>
          </cell>
          <cell r="L4">
            <v>27.7</v>
          </cell>
          <cell r="M4">
            <v>16.8</v>
          </cell>
          <cell r="N4">
            <v>12.7</v>
          </cell>
          <cell r="O4">
            <v>0</v>
          </cell>
          <cell r="P4">
            <v>26.8</v>
          </cell>
          <cell r="Q4">
            <v>28</v>
          </cell>
          <cell r="R4">
            <v>0</v>
          </cell>
        </row>
        <row r="5">
          <cell r="A5" t="str">
            <v>Sam LaPorta</v>
          </cell>
          <cell r="B5">
            <v>16.899999999999999</v>
          </cell>
          <cell r="C5">
            <v>7.1</v>
          </cell>
          <cell r="D5">
            <v>9.3000000000000007</v>
          </cell>
          <cell r="E5">
            <v>8.4</v>
          </cell>
          <cell r="F5">
            <v>22.700000000000003</v>
          </cell>
          <cell r="G5">
            <v>19</v>
          </cell>
          <cell r="H5">
            <v>6</v>
          </cell>
          <cell r="I5">
            <v>0</v>
          </cell>
          <cell r="J5">
            <v>24.700000000000003</v>
          </cell>
          <cell r="K5">
            <v>12.8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A6" t="str">
            <v>Tyler Warren</v>
          </cell>
          <cell r="B6">
            <v>18.100000000000001</v>
          </cell>
          <cell r="C6">
            <v>13.9</v>
          </cell>
          <cell r="D6">
            <v>8.3000000000000007</v>
          </cell>
          <cell r="E6">
            <v>14.5</v>
          </cell>
          <cell r="F6">
            <v>16.399999999999999</v>
          </cell>
          <cell r="G6">
            <v>21.3</v>
          </cell>
          <cell r="H6">
            <v>18.899999999999999</v>
          </cell>
          <cell r="I6">
            <v>11.3</v>
          </cell>
          <cell r="J6">
            <v>10.1</v>
          </cell>
          <cell r="K6">
            <v>21.9</v>
          </cell>
          <cell r="L6">
            <v>0</v>
          </cell>
          <cell r="M6">
            <v>12</v>
          </cell>
          <cell r="N6">
            <v>12.7</v>
          </cell>
          <cell r="O6">
            <v>4.5</v>
          </cell>
          <cell r="P6">
            <v>6.4</v>
          </cell>
          <cell r="Q6">
            <v>7.5</v>
          </cell>
          <cell r="R6">
            <v>11.8</v>
          </cell>
        </row>
        <row r="7">
          <cell r="A7" t="str">
            <v>Travis Kelce</v>
          </cell>
          <cell r="B7">
            <v>13.7</v>
          </cell>
          <cell r="C7">
            <v>12.100000000000001</v>
          </cell>
          <cell r="D7">
            <v>8.6</v>
          </cell>
          <cell r="E7">
            <v>12.3</v>
          </cell>
          <cell r="F7">
            <v>22.6</v>
          </cell>
          <cell r="G7">
            <v>16.8</v>
          </cell>
          <cell r="H7">
            <v>9.9</v>
          </cell>
          <cell r="I7">
            <v>24.9</v>
          </cell>
          <cell r="J7">
            <v>12.600000000000001</v>
          </cell>
          <cell r="K7">
            <v>0</v>
          </cell>
          <cell r="L7">
            <v>28.6</v>
          </cell>
          <cell r="M7">
            <v>10.3</v>
          </cell>
          <cell r="N7">
            <v>18</v>
          </cell>
          <cell r="O7">
            <v>2.2999999999999998</v>
          </cell>
          <cell r="P7">
            <v>17.5</v>
          </cell>
          <cell r="Q7">
            <v>2.1</v>
          </cell>
          <cell r="R7">
            <v>11.1</v>
          </cell>
        </row>
        <row r="8">
          <cell r="A8" t="str">
            <v>T.J. Hockenson</v>
          </cell>
          <cell r="B8">
            <v>6</v>
          </cell>
          <cell r="C8">
            <v>2.7</v>
          </cell>
          <cell r="D8">
            <v>18.399999999999999</v>
          </cell>
          <cell r="E8">
            <v>9.9</v>
          </cell>
          <cell r="F8">
            <v>12.8</v>
          </cell>
          <cell r="G8">
            <v>0</v>
          </cell>
          <cell r="H8">
            <v>13.3</v>
          </cell>
          <cell r="I8">
            <v>5.6</v>
          </cell>
          <cell r="J8">
            <v>10.1</v>
          </cell>
          <cell r="K8">
            <v>3.8</v>
          </cell>
          <cell r="L8">
            <v>8.4</v>
          </cell>
          <cell r="M8">
            <v>7.9</v>
          </cell>
          <cell r="N8">
            <v>14.9</v>
          </cell>
          <cell r="O8">
            <v>10.199999999999999</v>
          </cell>
          <cell r="P8">
            <v>12.600000000000001</v>
          </cell>
          <cell r="Q8">
            <v>1.7</v>
          </cell>
          <cell r="R8">
            <v>0</v>
          </cell>
        </row>
        <row r="9">
          <cell r="A9" t="str">
            <v>Evan Engram</v>
          </cell>
          <cell r="B9">
            <v>6.6</v>
          </cell>
          <cell r="C9">
            <v>2.7</v>
          </cell>
          <cell r="D9">
            <v>0</v>
          </cell>
          <cell r="E9">
            <v>8.9</v>
          </cell>
          <cell r="F9">
            <v>15.3</v>
          </cell>
          <cell r="G9">
            <v>11.7</v>
          </cell>
          <cell r="H9">
            <v>11.7</v>
          </cell>
          <cell r="I9">
            <v>9.6</v>
          </cell>
          <cell r="J9">
            <v>0</v>
          </cell>
          <cell r="K9">
            <v>4.2</v>
          </cell>
          <cell r="L9">
            <v>9.3000000000000007</v>
          </cell>
          <cell r="M9">
            <v>0</v>
          </cell>
          <cell r="N9">
            <v>16.899999999999999</v>
          </cell>
          <cell r="O9">
            <v>3.8</v>
          </cell>
          <cell r="P9">
            <v>2.7</v>
          </cell>
          <cell r="Q9">
            <v>6.6</v>
          </cell>
          <cell r="R9">
            <v>8.1</v>
          </cell>
        </row>
        <row r="10">
          <cell r="A10" t="str">
            <v>Mark Andrews</v>
          </cell>
          <cell r="B10">
            <v>2</v>
          </cell>
          <cell r="C10">
            <v>1.7</v>
          </cell>
          <cell r="D10">
            <v>30.1</v>
          </cell>
          <cell r="E10">
            <v>13.5</v>
          </cell>
          <cell r="F10">
            <v>5.2</v>
          </cell>
          <cell r="G10">
            <v>8.4</v>
          </cell>
          <cell r="H10">
            <v>0</v>
          </cell>
          <cell r="I10">
            <v>7.9</v>
          </cell>
          <cell r="J10">
            <v>17.2</v>
          </cell>
          <cell r="K10">
            <v>11.9</v>
          </cell>
          <cell r="L10">
            <v>7.7</v>
          </cell>
          <cell r="M10">
            <v>2.4</v>
          </cell>
          <cell r="N10">
            <v>10.7</v>
          </cell>
          <cell r="O10">
            <v>2.4</v>
          </cell>
          <cell r="P10">
            <v>4.8</v>
          </cell>
          <cell r="Q10">
            <v>5.0999999999999996</v>
          </cell>
          <cell r="R10">
            <v>8.8000000000000007</v>
          </cell>
        </row>
        <row r="11">
          <cell r="A11" t="str">
            <v>David Njoku</v>
          </cell>
          <cell r="B11">
            <v>8.1999999999999993</v>
          </cell>
          <cell r="C11">
            <v>10</v>
          </cell>
          <cell r="D11">
            <v>11.5</v>
          </cell>
          <cell r="E11">
            <v>4.0999999999999996</v>
          </cell>
          <cell r="F11">
            <v>21.7</v>
          </cell>
          <cell r="G11">
            <v>7.3000000000000007</v>
          </cell>
          <cell r="H11">
            <v>0</v>
          </cell>
          <cell r="I11">
            <v>15.7</v>
          </cell>
          <cell r="J11">
            <v>0</v>
          </cell>
          <cell r="K11">
            <v>11.1</v>
          </cell>
          <cell r="L11">
            <v>2.2000000000000002</v>
          </cell>
          <cell r="M11">
            <v>0</v>
          </cell>
          <cell r="N11">
            <v>3.4</v>
          </cell>
          <cell r="O11">
            <v>7.6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Colston Loveland</v>
          </cell>
          <cell r="B12">
            <v>4.2</v>
          </cell>
          <cell r="C12">
            <v>0</v>
          </cell>
          <cell r="D12">
            <v>4.5999999999999996</v>
          </cell>
          <cell r="E12">
            <v>0</v>
          </cell>
          <cell r="F12">
            <v>0</v>
          </cell>
          <cell r="G12">
            <v>4.0999999999999996</v>
          </cell>
          <cell r="H12">
            <v>6.9</v>
          </cell>
          <cell r="I12">
            <v>8.3000000000000007</v>
          </cell>
          <cell r="J12">
            <v>32.799999999999997</v>
          </cell>
          <cell r="K12">
            <v>11.5</v>
          </cell>
          <cell r="L12">
            <v>8.5</v>
          </cell>
          <cell r="M12">
            <v>16.899999999999999</v>
          </cell>
          <cell r="N12">
            <v>7.3000000000000007</v>
          </cell>
          <cell r="O12">
            <v>14.9</v>
          </cell>
          <cell r="P12">
            <v>12.3</v>
          </cell>
          <cell r="Q12">
            <v>7.5</v>
          </cell>
          <cell r="R12">
            <v>24.4</v>
          </cell>
        </row>
        <row r="13">
          <cell r="A13" t="str">
            <v>Tucker Kraft</v>
          </cell>
          <cell r="B13">
            <v>10.6</v>
          </cell>
          <cell r="C13">
            <v>27.4</v>
          </cell>
          <cell r="D13">
            <v>7.4</v>
          </cell>
          <cell r="E13">
            <v>13.100000000000001</v>
          </cell>
          <cell r="F13">
            <v>0</v>
          </cell>
          <cell r="G13">
            <v>13.3</v>
          </cell>
          <cell r="H13">
            <v>19.3</v>
          </cell>
          <cell r="I13">
            <v>36.799999999999997</v>
          </cell>
          <cell r="J13">
            <v>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Kyle Pitts Sr.</v>
          </cell>
          <cell r="B14">
            <v>16.399999999999999</v>
          </cell>
          <cell r="C14">
            <v>9.6999999999999993</v>
          </cell>
          <cell r="D14">
            <v>9.9</v>
          </cell>
          <cell r="E14">
            <v>20.5</v>
          </cell>
          <cell r="F14">
            <v>0</v>
          </cell>
          <cell r="G14">
            <v>6.3</v>
          </cell>
          <cell r="H14">
            <v>16.7</v>
          </cell>
          <cell r="I14">
            <v>19.399999999999999</v>
          </cell>
          <cell r="J14">
            <v>9.8000000000000007</v>
          </cell>
          <cell r="K14">
            <v>6.8000000000000007</v>
          </cell>
          <cell r="L14">
            <v>4.4000000000000004</v>
          </cell>
          <cell r="M14">
            <v>5.5</v>
          </cell>
          <cell r="N14">
            <v>18.700000000000003</v>
          </cell>
          <cell r="O14">
            <v>18</v>
          </cell>
          <cell r="P14">
            <v>51.1</v>
          </cell>
          <cell r="Q14">
            <v>22.2</v>
          </cell>
          <cell r="R14">
            <v>4.5999999999999996</v>
          </cell>
        </row>
        <row r="15">
          <cell r="A15" t="str">
            <v>Dalton Kincaid</v>
          </cell>
          <cell r="B15">
            <v>16.8</v>
          </cell>
          <cell r="C15">
            <v>9.6999999999999993</v>
          </cell>
          <cell r="D15">
            <v>20.100000000000001</v>
          </cell>
          <cell r="E15">
            <v>10.3</v>
          </cell>
          <cell r="F15">
            <v>19.8</v>
          </cell>
          <cell r="G15">
            <v>0</v>
          </cell>
          <cell r="H15">
            <v>0</v>
          </cell>
          <cell r="I15">
            <v>3.8000000000000003</v>
          </cell>
          <cell r="J15">
            <v>25.1</v>
          </cell>
          <cell r="K15">
            <v>6.7</v>
          </cell>
          <cell r="L15">
            <v>0</v>
          </cell>
          <cell r="M15">
            <v>0</v>
          </cell>
          <cell r="N15">
            <v>0</v>
          </cell>
          <cell r="O15">
            <v>16.100000000000001</v>
          </cell>
          <cell r="P15">
            <v>7.9</v>
          </cell>
          <cell r="Q15">
            <v>0</v>
          </cell>
          <cell r="R15">
            <v>0</v>
          </cell>
        </row>
        <row r="16">
          <cell r="A16" t="str">
            <v>Jake Ferguson</v>
          </cell>
          <cell r="B16">
            <v>9.8000000000000007</v>
          </cell>
          <cell r="C16">
            <v>21.3</v>
          </cell>
          <cell r="D16">
            <v>27.700000000000003</v>
          </cell>
          <cell r="E16">
            <v>20.5</v>
          </cell>
          <cell r="F16">
            <v>27.4</v>
          </cell>
          <cell r="G16">
            <v>13.8</v>
          </cell>
          <cell r="H16">
            <v>25.4</v>
          </cell>
          <cell r="I16">
            <v>0</v>
          </cell>
          <cell r="J16">
            <v>12.5</v>
          </cell>
          <cell r="K16">
            <v>0</v>
          </cell>
          <cell r="L16">
            <v>13.6</v>
          </cell>
          <cell r="M16">
            <v>13.5</v>
          </cell>
          <cell r="N16">
            <v>11.1</v>
          </cell>
          <cell r="O16">
            <v>13.3</v>
          </cell>
          <cell r="P16">
            <v>4.5999999999999996</v>
          </cell>
          <cell r="Q16">
            <v>6.4</v>
          </cell>
          <cell r="R16">
            <v>8.1</v>
          </cell>
        </row>
        <row r="17">
          <cell r="A17" t="str">
            <v>Dallas Goedert</v>
          </cell>
          <cell r="B17">
            <v>14.9</v>
          </cell>
          <cell r="C17">
            <v>0</v>
          </cell>
          <cell r="D17">
            <v>10.8</v>
          </cell>
          <cell r="E17">
            <v>21.7</v>
          </cell>
          <cell r="F17">
            <v>12.4</v>
          </cell>
          <cell r="G17">
            <v>30.5</v>
          </cell>
          <cell r="H17">
            <v>6.3</v>
          </cell>
          <cell r="I17">
            <v>19.3</v>
          </cell>
          <cell r="J17">
            <v>0</v>
          </cell>
          <cell r="K17">
            <v>10.3</v>
          </cell>
          <cell r="L17">
            <v>5.4</v>
          </cell>
          <cell r="M17">
            <v>5</v>
          </cell>
          <cell r="N17">
            <v>5.7</v>
          </cell>
          <cell r="O17">
            <v>19.8</v>
          </cell>
          <cell r="P17">
            <v>28</v>
          </cell>
          <cell r="Q17">
            <v>13.7</v>
          </cell>
          <cell r="R17">
            <v>11.3</v>
          </cell>
        </row>
        <row r="18">
          <cell r="A18" t="str">
            <v>Zach Ertz</v>
          </cell>
          <cell r="B18">
            <v>13.1</v>
          </cell>
          <cell r="C18">
            <v>21.4</v>
          </cell>
          <cell r="D18">
            <v>8.3000000000000007</v>
          </cell>
          <cell r="E18">
            <v>5.0999999999999996</v>
          </cell>
          <cell r="F18">
            <v>0</v>
          </cell>
          <cell r="G18">
            <v>19.3</v>
          </cell>
          <cell r="H18">
            <v>14.2</v>
          </cell>
          <cell r="I18">
            <v>7.6</v>
          </cell>
          <cell r="J18">
            <v>10.600000000000001</v>
          </cell>
          <cell r="K18">
            <v>11.4</v>
          </cell>
          <cell r="L18">
            <v>10.199999999999999</v>
          </cell>
          <cell r="M18">
            <v>0</v>
          </cell>
          <cell r="N18">
            <v>25.6</v>
          </cell>
          <cell r="O18">
            <v>2.6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Brenton Strange</v>
          </cell>
          <cell r="B19">
            <v>11.9</v>
          </cell>
          <cell r="C19">
            <v>6.2</v>
          </cell>
          <cell r="D19">
            <v>15.100000000000001</v>
          </cell>
          <cell r="E19">
            <v>13.5</v>
          </cell>
          <cell r="F19">
            <v>3.7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16.8</v>
          </cell>
          <cell r="N19">
            <v>15</v>
          </cell>
          <cell r="O19">
            <v>7.2</v>
          </cell>
          <cell r="P19">
            <v>4.0999999999999996</v>
          </cell>
          <cell r="Q19">
            <v>17.399999999999999</v>
          </cell>
          <cell r="R19">
            <v>9.9</v>
          </cell>
        </row>
        <row r="20">
          <cell r="A20" t="str">
            <v>Hunter Henry</v>
          </cell>
          <cell r="B20">
            <v>12.600000000000001</v>
          </cell>
          <cell r="C20">
            <v>2.4</v>
          </cell>
          <cell r="D20">
            <v>33</v>
          </cell>
          <cell r="E20">
            <v>12.9</v>
          </cell>
          <cell r="F20">
            <v>7.6000000000000005</v>
          </cell>
          <cell r="G20">
            <v>7.2</v>
          </cell>
          <cell r="H20">
            <v>9.3000000000000007</v>
          </cell>
          <cell r="I20">
            <v>8.1999999999999993</v>
          </cell>
          <cell r="J20">
            <v>11.100000000000001</v>
          </cell>
          <cell r="K20">
            <v>2.4</v>
          </cell>
          <cell r="L20">
            <v>10.5</v>
          </cell>
          <cell r="M20">
            <v>28</v>
          </cell>
          <cell r="N20">
            <v>13.3</v>
          </cell>
          <cell r="O20">
            <v>0</v>
          </cell>
          <cell r="P20">
            <v>3.3</v>
          </cell>
          <cell r="Q20">
            <v>18.5</v>
          </cell>
          <cell r="R20">
            <v>15.4</v>
          </cell>
        </row>
        <row r="21">
          <cell r="A21" t="str">
            <v>Chig Okonkwo</v>
          </cell>
          <cell r="B21">
            <v>6.4</v>
          </cell>
          <cell r="C21">
            <v>9.5</v>
          </cell>
          <cell r="D21">
            <v>14.100000000000001</v>
          </cell>
          <cell r="E21">
            <v>1.9</v>
          </cell>
          <cell r="F21">
            <v>10.8</v>
          </cell>
          <cell r="G21">
            <v>13.600000000000001</v>
          </cell>
          <cell r="H21">
            <v>0</v>
          </cell>
          <cell r="I21">
            <v>11.3</v>
          </cell>
          <cell r="J21">
            <v>4</v>
          </cell>
          <cell r="K21">
            <v>0</v>
          </cell>
          <cell r="L21">
            <v>10.100000000000001</v>
          </cell>
          <cell r="M21">
            <v>8.5</v>
          </cell>
          <cell r="N21">
            <v>8.9</v>
          </cell>
          <cell r="O21">
            <v>5</v>
          </cell>
          <cell r="P21">
            <v>9.3000000000000007</v>
          </cell>
          <cell r="Q21">
            <v>19.399999999999999</v>
          </cell>
          <cell r="R21">
            <v>16</v>
          </cell>
        </row>
        <row r="22">
          <cell r="A22" t="str">
            <v>Isaiah Likely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2.7</v>
          </cell>
          <cell r="G22">
            <v>3.6</v>
          </cell>
          <cell r="H22">
            <v>0</v>
          </cell>
          <cell r="I22">
            <v>3.8</v>
          </cell>
          <cell r="J22">
            <v>10.5</v>
          </cell>
          <cell r="K22">
            <v>4.7</v>
          </cell>
          <cell r="L22">
            <v>4.5</v>
          </cell>
          <cell r="M22">
            <v>2.5</v>
          </cell>
          <cell r="N22">
            <v>17</v>
          </cell>
          <cell r="O22">
            <v>14.5</v>
          </cell>
          <cell r="P22">
            <v>0</v>
          </cell>
          <cell r="Q22">
            <v>0</v>
          </cell>
          <cell r="R22">
            <v>7.2</v>
          </cell>
        </row>
        <row r="23">
          <cell r="A23" t="str">
            <v>Jonnu Smith</v>
          </cell>
          <cell r="B23">
            <v>15</v>
          </cell>
          <cell r="C23">
            <v>8.6999999999999993</v>
          </cell>
          <cell r="D23">
            <v>6.8000000000000007</v>
          </cell>
          <cell r="E23">
            <v>3.6</v>
          </cell>
          <cell r="F23">
            <v>0</v>
          </cell>
          <cell r="G23">
            <v>6.3</v>
          </cell>
          <cell r="H23">
            <v>13.3</v>
          </cell>
          <cell r="I23">
            <v>4.7</v>
          </cell>
          <cell r="J23">
            <v>7</v>
          </cell>
          <cell r="K23">
            <v>1.9</v>
          </cell>
          <cell r="L23">
            <v>0</v>
          </cell>
          <cell r="M23">
            <v>6.6</v>
          </cell>
          <cell r="N23">
            <v>2.1</v>
          </cell>
          <cell r="O23">
            <v>0</v>
          </cell>
          <cell r="P23">
            <v>4.2</v>
          </cell>
          <cell r="Q23">
            <v>0</v>
          </cell>
          <cell r="R23">
            <v>9.3000000000000007</v>
          </cell>
        </row>
        <row r="24">
          <cell r="A24" t="str">
            <v>Mason Taylor</v>
          </cell>
          <cell r="B24">
            <v>3.5</v>
          </cell>
          <cell r="C24">
            <v>2</v>
          </cell>
          <cell r="D24">
            <v>7.8</v>
          </cell>
          <cell r="E24">
            <v>14</v>
          </cell>
          <cell r="F24">
            <v>20.2</v>
          </cell>
          <cell r="G24">
            <v>1.7</v>
          </cell>
          <cell r="H24">
            <v>7.6</v>
          </cell>
          <cell r="I24">
            <v>16.899999999999999</v>
          </cell>
          <cell r="J24">
            <v>0</v>
          </cell>
          <cell r="K24">
            <v>1.9</v>
          </cell>
          <cell r="L24">
            <v>9</v>
          </cell>
          <cell r="M24">
            <v>6.6</v>
          </cell>
          <cell r="N24">
            <v>5.0999999999999996</v>
          </cell>
          <cell r="O24">
            <v>12.600000000000001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Cade Otton</v>
          </cell>
          <cell r="B25">
            <v>0</v>
          </cell>
          <cell r="C25">
            <v>7</v>
          </cell>
          <cell r="D25">
            <v>0</v>
          </cell>
          <cell r="E25">
            <v>5.4</v>
          </cell>
          <cell r="F25">
            <v>14.1</v>
          </cell>
          <cell r="G25">
            <v>12.600000000000001</v>
          </cell>
          <cell r="H25">
            <v>17</v>
          </cell>
          <cell r="I25">
            <v>10</v>
          </cell>
          <cell r="J25">
            <v>0</v>
          </cell>
          <cell r="K25">
            <v>21.700000000000003</v>
          </cell>
          <cell r="L25">
            <v>5.8000000000000007</v>
          </cell>
          <cell r="M25">
            <v>8.1</v>
          </cell>
          <cell r="N25">
            <v>3.9</v>
          </cell>
          <cell r="O25">
            <v>6.4</v>
          </cell>
          <cell r="P25">
            <v>0</v>
          </cell>
          <cell r="Q25">
            <v>4.5</v>
          </cell>
          <cell r="R25">
            <v>9.3000000000000007</v>
          </cell>
        </row>
        <row r="26">
          <cell r="A26" t="str">
            <v>Mike Gesicki</v>
          </cell>
          <cell r="B26">
            <v>2.9000000000000004</v>
          </cell>
          <cell r="C26">
            <v>6.3</v>
          </cell>
          <cell r="D26">
            <v>2.1</v>
          </cell>
          <cell r="E26">
            <v>2.2999999999999998</v>
          </cell>
          <cell r="F26">
            <v>4.5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9.5</v>
          </cell>
          <cell r="N26">
            <v>4.9000000000000004</v>
          </cell>
          <cell r="O26">
            <v>23.6</v>
          </cell>
          <cell r="P26">
            <v>2.6</v>
          </cell>
          <cell r="Q26">
            <v>14</v>
          </cell>
          <cell r="R26">
            <v>7.7</v>
          </cell>
        </row>
        <row r="27">
          <cell r="A27" t="str">
            <v>Darren Waller</v>
          </cell>
          <cell r="B27">
            <v>0</v>
          </cell>
          <cell r="C27">
            <v>0</v>
          </cell>
          <cell r="D27">
            <v>0</v>
          </cell>
          <cell r="E27">
            <v>19.2</v>
          </cell>
          <cell r="F27">
            <v>21.3</v>
          </cell>
          <cell r="G27">
            <v>10.199999999999999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7.7</v>
          </cell>
          <cell r="O27">
            <v>2.8</v>
          </cell>
          <cell r="P27">
            <v>29.1</v>
          </cell>
          <cell r="Q27">
            <v>8.5</v>
          </cell>
          <cell r="R27">
            <v>1.5</v>
          </cell>
        </row>
        <row r="28">
          <cell r="A28" t="str">
            <v>Harold Fannin Jr.</v>
          </cell>
          <cell r="B28">
            <v>16.8</v>
          </cell>
          <cell r="C28">
            <v>12.3</v>
          </cell>
          <cell r="D28">
            <v>7</v>
          </cell>
          <cell r="E28">
            <v>5.4</v>
          </cell>
          <cell r="F28">
            <v>13.3</v>
          </cell>
          <cell r="G28">
            <v>18.600000000000001</v>
          </cell>
          <cell r="H28">
            <v>9.6</v>
          </cell>
          <cell r="I28">
            <v>21.2</v>
          </cell>
          <cell r="J28">
            <v>0</v>
          </cell>
          <cell r="K28">
            <v>10.4</v>
          </cell>
          <cell r="L28">
            <v>5.6</v>
          </cell>
          <cell r="M28">
            <v>10</v>
          </cell>
          <cell r="N28">
            <v>14.8</v>
          </cell>
          <cell r="O28">
            <v>29.4</v>
          </cell>
          <cell r="P28">
            <v>15.3</v>
          </cell>
          <cell r="Q28">
            <v>15.4</v>
          </cell>
          <cell r="R28">
            <v>12</v>
          </cell>
        </row>
        <row r="29">
          <cell r="A29" t="str">
            <v>Pat Freiermuth</v>
          </cell>
          <cell r="B29">
            <v>7.3000000000000007</v>
          </cell>
          <cell r="C29">
            <v>7.6</v>
          </cell>
          <cell r="D29">
            <v>2.1</v>
          </cell>
          <cell r="E29">
            <v>0</v>
          </cell>
          <cell r="F29">
            <v>0</v>
          </cell>
          <cell r="G29">
            <v>2.6</v>
          </cell>
          <cell r="H29">
            <v>30.6</v>
          </cell>
          <cell r="I29">
            <v>5.8</v>
          </cell>
          <cell r="J29">
            <v>13.2</v>
          </cell>
          <cell r="K29">
            <v>7.8000000000000007</v>
          </cell>
          <cell r="L29">
            <v>3.4000000000000004</v>
          </cell>
          <cell r="M29">
            <v>12.4</v>
          </cell>
          <cell r="N29">
            <v>0</v>
          </cell>
          <cell r="O29">
            <v>3.9</v>
          </cell>
          <cell r="P29">
            <v>9</v>
          </cell>
          <cell r="Q29">
            <v>8</v>
          </cell>
          <cell r="R29">
            <v>10.8</v>
          </cell>
        </row>
        <row r="30">
          <cell r="A30" t="str">
            <v>Theo Johnson</v>
          </cell>
          <cell r="B30">
            <v>2</v>
          </cell>
          <cell r="C30">
            <v>9.4</v>
          </cell>
          <cell r="D30">
            <v>2.5</v>
          </cell>
          <cell r="E30">
            <v>12.2</v>
          </cell>
          <cell r="F30">
            <v>24.3</v>
          </cell>
          <cell r="G30">
            <v>5.7</v>
          </cell>
          <cell r="H30">
            <v>17.100000000000001</v>
          </cell>
          <cell r="I30">
            <v>6.5</v>
          </cell>
          <cell r="J30">
            <v>13.2</v>
          </cell>
          <cell r="K30">
            <v>18</v>
          </cell>
          <cell r="L30">
            <v>8.1</v>
          </cell>
          <cell r="M30">
            <v>12.2</v>
          </cell>
          <cell r="N30">
            <v>7.4</v>
          </cell>
          <cell r="O30">
            <v>0</v>
          </cell>
          <cell r="P30">
            <v>11.7</v>
          </cell>
          <cell r="Q30">
            <v>0</v>
          </cell>
          <cell r="R30">
            <v>0</v>
          </cell>
        </row>
        <row r="31">
          <cell r="A31" t="str">
            <v>Dalton Schultz</v>
          </cell>
          <cell r="B31">
            <v>7.3000000000000007</v>
          </cell>
          <cell r="C31">
            <v>7.4</v>
          </cell>
          <cell r="D31">
            <v>11.4</v>
          </cell>
          <cell r="E31">
            <v>10.5</v>
          </cell>
          <cell r="F31">
            <v>13.5</v>
          </cell>
          <cell r="G31">
            <v>0</v>
          </cell>
          <cell r="H31">
            <v>23.3</v>
          </cell>
          <cell r="I31">
            <v>5.4</v>
          </cell>
          <cell r="J31">
            <v>16.7</v>
          </cell>
          <cell r="K31">
            <v>21.8</v>
          </cell>
          <cell r="L31">
            <v>14.100000000000001</v>
          </cell>
          <cell r="M31">
            <v>2.2999999999999998</v>
          </cell>
          <cell r="N31">
            <v>16</v>
          </cell>
          <cell r="O31">
            <v>6.7</v>
          </cell>
          <cell r="P31">
            <v>25.6</v>
          </cell>
          <cell r="Q31">
            <v>17</v>
          </cell>
          <cell r="R31">
            <v>6.4</v>
          </cell>
        </row>
        <row r="32">
          <cell r="A32" t="str">
            <v>Juwan Johnson</v>
          </cell>
          <cell r="B32">
            <v>19.600000000000001</v>
          </cell>
          <cell r="C32">
            <v>18.399999999999999</v>
          </cell>
          <cell r="D32">
            <v>14.100000000000001</v>
          </cell>
          <cell r="E32">
            <v>7.3000000000000007</v>
          </cell>
          <cell r="F32">
            <v>4.7</v>
          </cell>
          <cell r="G32">
            <v>4.5</v>
          </cell>
          <cell r="H32">
            <v>15.4</v>
          </cell>
          <cell r="I32">
            <v>12.8</v>
          </cell>
          <cell r="J32">
            <v>13.6</v>
          </cell>
          <cell r="K32">
            <v>21.200000000000003</v>
          </cell>
          <cell r="L32">
            <v>0</v>
          </cell>
          <cell r="M32">
            <v>13.600000000000001</v>
          </cell>
          <cell r="N32">
            <v>11.4</v>
          </cell>
          <cell r="O32">
            <v>9.8000000000000007</v>
          </cell>
          <cell r="P32">
            <v>9</v>
          </cell>
          <cell r="Q32">
            <v>20.9</v>
          </cell>
          <cell r="R32">
            <v>15.5</v>
          </cell>
        </row>
        <row r="33">
          <cell r="A33" t="str">
            <v>Tyler Higbee</v>
          </cell>
          <cell r="B33">
            <v>0</v>
          </cell>
          <cell r="C33">
            <v>9.6999999999999993</v>
          </cell>
          <cell r="D33">
            <v>0</v>
          </cell>
          <cell r="E33">
            <v>5.5</v>
          </cell>
          <cell r="F33">
            <v>0</v>
          </cell>
          <cell r="G33">
            <v>16</v>
          </cell>
          <cell r="H33">
            <v>6.4</v>
          </cell>
          <cell r="I33">
            <v>0</v>
          </cell>
          <cell r="J33">
            <v>11.8</v>
          </cell>
          <cell r="K33">
            <v>7.8000000000000007</v>
          </cell>
          <cell r="L33">
            <v>3.8000000000000003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Colby Parkinson</v>
          </cell>
          <cell r="B34">
            <v>2.4</v>
          </cell>
          <cell r="C34">
            <v>0</v>
          </cell>
          <cell r="D34">
            <v>0</v>
          </cell>
          <cell r="E34">
            <v>4.7</v>
          </cell>
          <cell r="F34">
            <v>0</v>
          </cell>
          <cell r="G34">
            <v>0</v>
          </cell>
          <cell r="H34">
            <v>9.1999999999999993</v>
          </cell>
          <cell r="I34">
            <v>0</v>
          </cell>
          <cell r="J34">
            <v>4</v>
          </cell>
          <cell r="K34">
            <v>16.100000000000001</v>
          </cell>
          <cell r="L34">
            <v>10.4</v>
          </cell>
          <cell r="M34">
            <v>16.100000000000001</v>
          </cell>
          <cell r="N34">
            <v>8.6999999999999993</v>
          </cell>
          <cell r="O34">
            <v>13.7</v>
          </cell>
          <cell r="P34">
            <v>27</v>
          </cell>
          <cell r="Q34">
            <v>5.0999999999999996</v>
          </cell>
          <cell r="R34">
            <v>14.3</v>
          </cell>
        </row>
        <row r="35">
          <cell r="A35" t="str">
            <v>Dawson Knox</v>
          </cell>
          <cell r="B35">
            <v>5</v>
          </cell>
          <cell r="C35">
            <v>4.9000000000000004</v>
          </cell>
          <cell r="D35">
            <v>0</v>
          </cell>
          <cell r="E35">
            <v>0</v>
          </cell>
          <cell r="F35">
            <v>4.5</v>
          </cell>
          <cell r="G35">
            <v>9.4</v>
          </cell>
          <cell r="H35">
            <v>0</v>
          </cell>
          <cell r="I35">
            <v>3</v>
          </cell>
          <cell r="J35">
            <v>4.5</v>
          </cell>
          <cell r="K35">
            <v>8.1999999999999993</v>
          </cell>
          <cell r="L35">
            <v>3.8000000000000003</v>
          </cell>
          <cell r="M35">
            <v>6.2</v>
          </cell>
          <cell r="N35">
            <v>7.3000000000000007</v>
          </cell>
          <cell r="O35">
            <v>18.3</v>
          </cell>
          <cell r="P35">
            <v>20.2</v>
          </cell>
          <cell r="Q35">
            <v>2.5</v>
          </cell>
          <cell r="R35">
            <v>10.5</v>
          </cell>
        </row>
        <row r="36">
          <cell r="A36" t="str">
            <v>Jake Tonges</v>
          </cell>
          <cell r="B36">
            <v>12</v>
          </cell>
          <cell r="C36">
            <v>9.1</v>
          </cell>
          <cell r="D36">
            <v>5.0999999999999996</v>
          </cell>
          <cell r="E36">
            <v>16.3</v>
          </cell>
          <cell r="F36">
            <v>20.6</v>
          </cell>
          <cell r="G36">
            <v>14.8</v>
          </cell>
          <cell r="H36">
            <v>0</v>
          </cell>
          <cell r="I36">
            <v>7.7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2.2000000000000002</v>
          </cell>
          <cell r="R36">
            <v>22.5</v>
          </cell>
        </row>
        <row r="37">
          <cell r="A37" t="str">
            <v>Tommy Tremble</v>
          </cell>
          <cell r="B37">
            <v>1.7</v>
          </cell>
          <cell r="C37">
            <v>6.5</v>
          </cell>
          <cell r="D37">
            <v>4.5999999999999996</v>
          </cell>
          <cell r="E37">
            <v>17.7</v>
          </cell>
          <cell r="F37">
            <v>2.2000000000000002</v>
          </cell>
          <cell r="G37">
            <v>9.9</v>
          </cell>
          <cell r="H37">
            <v>1.5</v>
          </cell>
          <cell r="I37">
            <v>1.9</v>
          </cell>
          <cell r="J37">
            <v>0</v>
          </cell>
          <cell r="K37">
            <v>0</v>
          </cell>
          <cell r="L37">
            <v>6.9</v>
          </cell>
          <cell r="M37">
            <v>0</v>
          </cell>
          <cell r="N37">
            <v>1.7</v>
          </cell>
          <cell r="O37">
            <v>0</v>
          </cell>
          <cell r="P37">
            <v>4.3</v>
          </cell>
          <cell r="Q37">
            <v>2.1</v>
          </cell>
          <cell r="R37">
            <v>2.1</v>
          </cell>
        </row>
        <row r="38">
          <cell r="A38" t="str">
            <v>Davis Allen</v>
          </cell>
          <cell r="B38">
            <v>8.8000000000000007</v>
          </cell>
          <cell r="C38">
            <v>8.3000000000000007</v>
          </cell>
          <cell r="D38">
            <v>1.8</v>
          </cell>
          <cell r="E38">
            <v>1.5</v>
          </cell>
          <cell r="F38">
            <v>5.4</v>
          </cell>
          <cell r="G38">
            <v>2.2000000000000002</v>
          </cell>
          <cell r="H38">
            <v>1.9</v>
          </cell>
          <cell r="I38">
            <v>0</v>
          </cell>
          <cell r="J38">
            <v>8.1999999999999993</v>
          </cell>
          <cell r="K38">
            <v>9.8000000000000007</v>
          </cell>
          <cell r="L38">
            <v>0</v>
          </cell>
          <cell r="M38">
            <v>7.4</v>
          </cell>
          <cell r="N38">
            <v>1.9</v>
          </cell>
          <cell r="O38">
            <v>5.0999999999999996</v>
          </cell>
          <cell r="P38">
            <v>6.1</v>
          </cell>
          <cell r="Q38">
            <v>6.4</v>
          </cell>
          <cell r="R38">
            <v>0</v>
          </cell>
        </row>
        <row r="39">
          <cell r="A39" t="str">
            <v>Cole Kmet</v>
          </cell>
          <cell r="B39">
            <v>4.5999999999999996</v>
          </cell>
          <cell r="C39">
            <v>5.9</v>
          </cell>
          <cell r="D39">
            <v>8.5</v>
          </cell>
          <cell r="E39">
            <v>9.1000000000000014</v>
          </cell>
          <cell r="F39">
            <v>0</v>
          </cell>
          <cell r="G39">
            <v>1.5</v>
          </cell>
          <cell r="H39">
            <v>3.1</v>
          </cell>
          <cell r="I39">
            <v>0</v>
          </cell>
          <cell r="J39">
            <v>2.5</v>
          </cell>
          <cell r="K39">
            <v>2</v>
          </cell>
          <cell r="L39">
            <v>12</v>
          </cell>
          <cell r="M39">
            <v>1.8</v>
          </cell>
          <cell r="N39">
            <v>14.1</v>
          </cell>
          <cell r="O39">
            <v>7.2</v>
          </cell>
          <cell r="P39">
            <v>5.8000000000000007</v>
          </cell>
          <cell r="Q39">
            <v>4.4000000000000004</v>
          </cell>
          <cell r="R39">
            <v>4.5999999999999996</v>
          </cell>
        </row>
        <row r="40">
          <cell r="A40" t="str">
            <v>Darnell Washington</v>
          </cell>
          <cell r="B40">
            <v>0</v>
          </cell>
          <cell r="C40">
            <v>0</v>
          </cell>
          <cell r="D40">
            <v>0</v>
          </cell>
          <cell r="E40">
            <v>6.5</v>
          </cell>
          <cell r="F40">
            <v>0</v>
          </cell>
          <cell r="G40">
            <v>10.7</v>
          </cell>
          <cell r="H40">
            <v>10.7</v>
          </cell>
          <cell r="I40">
            <v>0</v>
          </cell>
          <cell r="J40">
            <v>10.3</v>
          </cell>
          <cell r="K40">
            <v>3</v>
          </cell>
          <cell r="L40">
            <v>12.7</v>
          </cell>
          <cell r="M40">
            <v>5.2</v>
          </cell>
          <cell r="N40">
            <v>7.5</v>
          </cell>
          <cell r="O40">
            <v>2.7</v>
          </cell>
          <cell r="P40">
            <v>7</v>
          </cell>
          <cell r="Q40">
            <v>8.1</v>
          </cell>
          <cell r="R40">
            <v>4.5</v>
          </cell>
        </row>
        <row r="41">
          <cell r="A41" t="str">
            <v>Noah Fant</v>
          </cell>
          <cell r="B41">
            <v>14.6</v>
          </cell>
          <cell r="C41">
            <v>7.3000000000000007</v>
          </cell>
          <cell r="D41">
            <v>10.1</v>
          </cell>
          <cell r="E41">
            <v>0</v>
          </cell>
          <cell r="F41">
            <v>0</v>
          </cell>
          <cell r="G41">
            <v>8.6999999999999993</v>
          </cell>
          <cell r="H41">
            <v>16.399999999999999</v>
          </cell>
          <cell r="I41">
            <v>8.6000000000000014</v>
          </cell>
          <cell r="J41">
            <v>11.8</v>
          </cell>
          <cell r="K41">
            <v>0</v>
          </cell>
          <cell r="L41">
            <v>11.1</v>
          </cell>
          <cell r="M41">
            <v>2.4</v>
          </cell>
          <cell r="N41">
            <v>1.8</v>
          </cell>
          <cell r="O41">
            <v>3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Gunnar Helm</v>
          </cell>
          <cell r="B42">
            <v>3.1</v>
          </cell>
          <cell r="C42">
            <v>3.9</v>
          </cell>
          <cell r="D42">
            <v>7.2</v>
          </cell>
          <cell r="E42">
            <v>2.7</v>
          </cell>
          <cell r="F42">
            <v>9.4</v>
          </cell>
          <cell r="G42">
            <v>4.5</v>
          </cell>
          <cell r="H42">
            <v>9.6</v>
          </cell>
          <cell r="I42">
            <v>11.3</v>
          </cell>
          <cell r="J42">
            <v>3</v>
          </cell>
          <cell r="K42">
            <v>0</v>
          </cell>
          <cell r="L42">
            <v>8.9</v>
          </cell>
          <cell r="M42">
            <v>14.100000000000001</v>
          </cell>
          <cell r="N42">
            <v>11.3</v>
          </cell>
          <cell r="O42">
            <v>2.2999999999999998</v>
          </cell>
          <cell r="P42">
            <v>16.899999999999999</v>
          </cell>
          <cell r="Q42">
            <v>3.9</v>
          </cell>
          <cell r="R42">
            <v>1.6</v>
          </cell>
        </row>
        <row r="43">
          <cell r="A43" t="str">
            <v>Greg Dulcich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12.4</v>
          </cell>
          <cell r="K43">
            <v>3.7</v>
          </cell>
          <cell r="L43">
            <v>4.8</v>
          </cell>
          <cell r="M43">
            <v>0</v>
          </cell>
          <cell r="N43">
            <v>5.4</v>
          </cell>
          <cell r="O43">
            <v>8.6000000000000014</v>
          </cell>
          <cell r="P43">
            <v>7.6000000000000005</v>
          </cell>
          <cell r="Q43">
            <v>9.1000000000000014</v>
          </cell>
          <cell r="R43">
            <v>19.3</v>
          </cell>
        </row>
        <row r="44">
          <cell r="A44" t="str">
            <v>Oronde Gadsden II</v>
          </cell>
          <cell r="B44">
            <v>0</v>
          </cell>
          <cell r="C44">
            <v>0</v>
          </cell>
          <cell r="D44">
            <v>12.100000000000001</v>
          </cell>
          <cell r="E44">
            <v>4.5999999999999996</v>
          </cell>
          <cell r="F44">
            <v>2.9000000000000004</v>
          </cell>
          <cell r="G44">
            <v>17.3</v>
          </cell>
          <cell r="H44">
            <v>32.900000000000006</v>
          </cell>
          <cell r="I44">
            <v>21.2</v>
          </cell>
          <cell r="J44">
            <v>14.3</v>
          </cell>
          <cell r="K44">
            <v>5.8</v>
          </cell>
          <cell r="L44">
            <v>7.1000000000000005</v>
          </cell>
          <cell r="M44">
            <v>0</v>
          </cell>
          <cell r="N44">
            <v>4.2</v>
          </cell>
          <cell r="O44">
            <v>2.2000000000000002</v>
          </cell>
          <cell r="P44">
            <v>12.100000000000001</v>
          </cell>
          <cell r="Q44">
            <v>2.2000000000000002</v>
          </cell>
          <cell r="R44">
            <v>13.7</v>
          </cell>
        </row>
        <row r="45">
          <cell r="A45" t="str">
            <v>Michael Mayer</v>
          </cell>
          <cell r="B45">
            <v>9.8000000000000007</v>
          </cell>
          <cell r="C45">
            <v>3.9</v>
          </cell>
          <cell r="D45">
            <v>0</v>
          </cell>
          <cell r="E45">
            <v>0</v>
          </cell>
          <cell r="F45">
            <v>0</v>
          </cell>
          <cell r="G45">
            <v>18.5</v>
          </cell>
          <cell r="H45">
            <v>2.5</v>
          </cell>
          <cell r="I45">
            <v>0</v>
          </cell>
          <cell r="J45">
            <v>7.1</v>
          </cell>
          <cell r="K45">
            <v>6.7</v>
          </cell>
          <cell r="L45">
            <v>5.8</v>
          </cell>
          <cell r="M45">
            <v>2.9000000000000004</v>
          </cell>
          <cell r="N45">
            <v>0</v>
          </cell>
          <cell r="O45">
            <v>0</v>
          </cell>
          <cell r="P45">
            <v>0</v>
          </cell>
          <cell r="Q45">
            <v>2.5</v>
          </cell>
          <cell r="R45">
            <v>22.4</v>
          </cell>
        </row>
        <row r="46">
          <cell r="A46" t="str">
            <v>AJ Barner</v>
          </cell>
          <cell r="B46">
            <v>1.5</v>
          </cell>
          <cell r="C46">
            <v>11.6</v>
          </cell>
          <cell r="D46">
            <v>3.8000000000000003</v>
          </cell>
          <cell r="E46">
            <v>13.7</v>
          </cell>
          <cell r="F46">
            <v>27.8</v>
          </cell>
          <cell r="G46">
            <v>11.600000000000001</v>
          </cell>
          <cell r="I46">
            <v>0</v>
          </cell>
          <cell r="J46">
            <v>6.9</v>
          </cell>
          <cell r="K46">
            <v>0</v>
          </cell>
          <cell r="L46">
            <v>22</v>
          </cell>
          <cell r="M46">
            <v>4.8</v>
          </cell>
          <cell r="N46">
            <v>9.5</v>
          </cell>
          <cell r="O46">
            <v>7.2</v>
          </cell>
          <cell r="P46">
            <v>7.2</v>
          </cell>
          <cell r="Q46">
            <v>16.899999999999999</v>
          </cell>
          <cell r="R46">
            <v>14.8</v>
          </cell>
        </row>
      </sheetData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cro1"/>
      <sheetName val="2025 Test"/>
      <sheetName val="Pos By round"/>
      <sheetName val="2025"/>
      <sheetName val="Draft"/>
      <sheetName val="FantasyPros_2025_Overall_ADP_Ra"/>
      <sheetName val="Results"/>
      <sheetName val="Simulation Results"/>
      <sheetName val="25 1000 optimizer"/>
      <sheetName val="25 1000 optimizer (2)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Ja'Marr Chase</v>
          </cell>
          <cell r="C2" t="str">
            <v>WR</v>
          </cell>
          <cell r="D2" t="str">
            <v>WR1</v>
          </cell>
          <cell r="E2">
            <v>1</v>
          </cell>
        </row>
        <row r="3">
          <cell r="B3" t="str">
            <v>Bijan Robinson</v>
          </cell>
          <cell r="C3" t="str">
            <v>RB</v>
          </cell>
          <cell r="D3" t="str">
            <v>RB1</v>
          </cell>
          <cell r="E3">
            <v>2</v>
          </cell>
        </row>
        <row r="4">
          <cell r="B4" t="str">
            <v>Jahmyr Gibbs</v>
          </cell>
          <cell r="C4" t="str">
            <v>RB</v>
          </cell>
          <cell r="D4" t="str">
            <v>RB2</v>
          </cell>
          <cell r="E4">
            <v>5</v>
          </cell>
        </row>
        <row r="5">
          <cell r="B5" t="str">
            <v>CeeDee Lamb</v>
          </cell>
          <cell r="C5" t="str">
            <v>WR</v>
          </cell>
          <cell r="D5" t="str">
            <v>WR2</v>
          </cell>
          <cell r="E5">
            <v>4</v>
          </cell>
        </row>
        <row r="6">
          <cell r="B6" t="str">
            <v>Saquon Barkley</v>
          </cell>
          <cell r="C6" t="str">
            <v>RB</v>
          </cell>
          <cell r="D6" t="str">
            <v>RB3</v>
          </cell>
          <cell r="E6">
            <v>3</v>
          </cell>
        </row>
        <row r="7">
          <cell r="B7" t="str">
            <v>Justin Jefferson</v>
          </cell>
          <cell r="C7" t="str">
            <v>WR</v>
          </cell>
          <cell r="D7" t="str">
            <v>WR3</v>
          </cell>
          <cell r="E7">
            <v>6</v>
          </cell>
        </row>
        <row r="8">
          <cell r="B8" t="str">
            <v>Christian McCaffrey</v>
          </cell>
          <cell r="C8" t="str">
            <v>RB</v>
          </cell>
          <cell r="D8" t="str">
            <v>RB4</v>
          </cell>
          <cell r="E8">
            <v>7</v>
          </cell>
        </row>
        <row r="9">
          <cell r="B9" t="str">
            <v>Nico Collins</v>
          </cell>
          <cell r="C9" t="str">
            <v>WR</v>
          </cell>
          <cell r="D9" t="str">
            <v>WR4</v>
          </cell>
          <cell r="E9">
            <v>8</v>
          </cell>
        </row>
        <row r="10">
          <cell r="B10" t="str">
            <v>Amon-Ra St. Brown</v>
          </cell>
          <cell r="C10" t="str">
            <v>WR</v>
          </cell>
          <cell r="D10" t="str">
            <v>WR5</v>
          </cell>
          <cell r="E10">
            <v>11</v>
          </cell>
        </row>
        <row r="11">
          <cell r="B11" t="str">
            <v>Malik Nabers</v>
          </cell>
          <cell r="C11" t="str">
            <v>WR</v>
          </cell>
          <cell r="D11" t="str">
            <v>WR6</v>
          </cell>
          <cell r="E11">
            <v>10</v>
          </cell>
        </row>
        <row r="12">
          <cell r="B12" t="str">
            <v>Ashton Jeanty</v>
          </cell>
          <cell r="C12" t="str">
            <v>RB</v>
          </cell>
          <cell r="D12" t="str">
            <v>RB5</v>
          </cell>
          <cell r="E12">
            <v>12</v>
          </cell>
        </row>
        <row r="13">
          <cell r="B13" t="str">
            <v>Derrick Henry</v>
          </cell>
          <cell r="C13" t="str">
            <v>RB</v>
          </cell>
          <cell r="D13" t="str">
            <v>RB6</v>
          </cell>
          <cell r="E13">
            <v>9</v>
          </cell>
        </row>
        <row r="14">
          <cell r="B14" t="str">
            <v>Brian Thomas Jr.</v>
          </cell>
          <cell r="C14" t="str">
            <v>WR</v>
          </cell>
          <cell r="D14" t="str">
            <v>WR7</v>
          </cell>
          <cell r="E14">
            <v>14</v>
          </cell>
        </row>
        <row r="15">
          <cell r="B15" t="str">
            <v>Puka Nacua</v>
          </cell>
          <cell r="C15" t="str">
            <v>WR</v>
          </cell>
          <cell r="D15" t="str">
            <v>WR8</v>
          </cell>
          <cell r="E15">
            <v>13</v>
          </cell>
        </row>
        <row r="16">
          <cell r="B16" t="str">
            <v>Drake London</v>
          </cell>
          <cell r="C16" t="str">
            <v>WR</v>
          </cell>
          <cell r="D16" t="str">
            <v>WR9</v>
          </cell>
          <cell r="E16">
            <v>16</v>
          </cell>
        </row>
        <row r="17">
          <cell r="B17" t="str">
            <v>Chase Brown</v>
          </cell>
          <cell r="C17" t="str">
            <v>RB</v>
          </cell>
          <cell r="D17" t="str">
            <v>RB7</v>
          </cell>
          <cell r="E17">
            <v>15</v>
          </cell>
        </row>
        <row r="18">
          <cell r="B18" t="str">
            <v>De'Von Achane</v>
          </cell>
          <cell r="C18" t="str">
            <v>RB</v>
          </cell>
          <cell r="D18" t="str">
            <v>RB8</v>
          </cell>
          <cell r="E18">
            <v>20</v>
          </cell>
        </row>
        <row r="19">
          <cell r="B19" t="str">
            <v>Brock Bowers</v>
          </cell>
          <cell r="C19" t="str">
            <v>TE</v>
          </cell>
          <cell r="D19" t="str">
            <v>TE1</v>
          </cell>
          <cell r="E19">
            <v>18</v>
          </cell>
        </row>
        <row r="20">
          <cell r="B20" t="str">
            <v>Bucky Irving</v>
          </cell>
          <cell r="C20" t="str">
            <v>RB</v>
          </cell>
          <cell r="D20" t="str">
            <v>RB9</v>
          </cell>
          <cell r="E20">
            <v>19</v>
          </cell>
        </row>
        <row r="21">
          <cell r="B21" t="str">
            <v>Jonathan Taylor</v>
          </cell>
          <cell r="C21" t="str">
            <v>RB</v>
          </cell>
          <cell r="D21" t="str">
            <v>RB10</v>
          </cell>
          <cell r="E21">
            <v>17</v>
          </cell>
        </row>
        <row r="22">
          <cell r="B22" t="str">
            <v>Josh Jacobs</v>
          </cell>
          <cell r="C22" t="str">
            <v>RB</v>
          </cell>
          <cell r="D22" t="str">
            <v>RB11</v>
          </cell>
          <cell r="E22">
            <v>21</v>
          </cell>
        </row>
        <row r="23">
          <cell r="B23" t="str">
            <v>A.J. Brown</v>
          </cell>
          <cell r="C23" t="str">
            <v>WR</v>
          </cell>
          <cell r="D23" t="str">
            <v>WR10</v>
          </cell>
          <cell r="E23">
            <v>22</v>
          </cell>
        </row>
        <row r="24">
          <cell r="B24" t="str">
            <v>Ladd McConkey</v>
          </cell>
          <cell r="C24" t="str">
            <v>WR</v>
          </cell>
          <cell r="D24" t="str">
            <v>WR11</v>
          </cell>
          <cell r="E24">
            <v>23</v>
          </cell>
        </row>
        <row r="25">
          <cell r="B25" t="str">
            <v>Josh Allen</v>
          </cell>
          <cell r="C25" t="str">
            <v>QB</v>
          </cell>
          <cell r="D25" t="str">
            <v>QB1</v>
          </cell>
          <cell r="E25">
            <v>24</v>
          </cell>
        </row>
        <row r="26">
          <cell r="B26" t="str">
            <v>Trey McBride</v>
          </cell>
          <cell r="C26" t="str">
            <v>TE</v>
          </cell>
          <cell r="D26" t="str">
            <v>TE2</v>
          </cell>
          <cell r="E26">
            <v>25</v>
          </cell>
        </row>
        <row r="27">
          <cell r="B27" t="str">
            <v>Lamar Jackson</v>
          </cell>
          <cell r="C27" t="str">
            <v>QB</v>
          </cell>
          <cell r="D27" t="str">
            <v>QB2</v>
          </cell>
          <cell r="E27">
            <v>27</v>
          </cell>
        </row>
        <row r="28">
          <cell r="B28" t="str">
            <v>Kyren Williams</v>
          </cell>
          <cell r="C28" t="str">
            <v>RB</v>
          </cell>
          <cell r="D28" t="str">
            <v>RB12</v>
          </cell>
          <cell r="E28">
            <v>28</v>
          </cell>
        </row>
        <row r="29">
          <cell r="B29" t="str">
            <v>Tee Higgins</v>
          </cell>
          <cell r="C29" t="str">
            <v>WR</v>
          </cell>
          <cell r="D29" t="str">
            <v>WR12</v>
          </cell>
          <cell r="E29">
            <v>26</v>
          </cell>
        </row>
        <row r="30">
          <cell r="B30" t="str">
            <v>Omarion Hampton</v>
          </cell>
          <cell r="C30" t="str">
            <v>RB</v>
          </cell>
          <cell r="D30" t="str">
            <v>RB13</v>
          </cell>
          <cell r="E30">
            <v>29</v>
          </cell>
        </row>
        <row r="31">
          <cell r="B31" t="str">
            <v>Jaxon Smith-Njigba</v>
          </cell>
          <cell r="C31" t="str">
            <v>WR</v>
          </cell>
          <cell r="D31" t="str">
            <v>WR13</v>
          </cell>
          <cell r="E31">
            <v>30</v>
          </cell>
        </row>
        <row r="32">
          <cell r="B32" t="str">
            <v>Tyreek Hill</v>
          </cell>
          <cell r="C32" t="str">
            <v>WR</v>
          </cell>
          <cell r="D32" t="str">
            <v>WR14</v>
          </cell>
          <cell r="E32">
            <v>35</v>
          </cell>
        </row>
        <row r="33">
          <cell r="B33" t="str">
            <v>Jayden Daniels</v>
          </cell>
          <cell r="C33" t="str">
            <v>QB</v>
          </cell>
          <cell r="D33" t="str">
            <v>QB3</v>
          </cell>
          <cell r="E33">
            <v>34</v>
          </cell>
        </row>
        <row r="34">
          <cell r="B34" t="str">
            <v>James Cook III</v>
          </cell>
          <cell r="C34" t="str">
            <v>RB</v>
          </cell>
          <cell r="D34" t="str">
            <v>RB14</v>
          </cell>
          <cell r="E34">
            <v>32</v>
          </cell>
        </row>
        <row r="35">
          <cell r="B35" t="str">
            <v>Mike Evans</v>
          </cell>
          <cell r="C35" t="str">
            <v>WR</v>
          </cell>
          <cell r="D35" t="str">
            <v>WR15</v>
          </cell>
          <cell r="E35">
            <v>31</v>
          </cell>
        </row>
        <row r="36">
          <cell r="B36" t="str">
            <v>George Kittle</v>
          </cell>
          <cell r="C36" t="str">
            <v>TE</v>
          </cell>
          <cell r="D36" t="str">
            <v>TE3</v>
          </cell>
          <cell r="E36">
            <v>36</v>
          </cell>
        </row>
        <row r="37">
          <cell r="B37" t="str">
            <v>Garrett Wilson</v>
          </cell>
          <cell r="C37" t="str">
            <v>WR</v>
          </cell>
          <cell r="D37" t="str">
            <v>WR16</v>
          </cell>
          <cell r="E37">
            <v>43</v>
          </cell>
        </row>
        <row r="38">
          <cell r="B38" t="str">
            <v>Marvin Harrison Jr.</v>
          </cell>
          <cell r="C38" t="str">
            <v>WR</v>
          </cell>
          <cell r="D38" t="str">
            <v>WR17</v>
          </cell>
          <cell r="E38">
            <v>38</v>
          </cell>
        </row>
        <row r="39">
          <cell r="B39" t="str">
            <v>TreVeyon Henderson</v>
          </cell>
          <cell r="C39" t="str">
            <v>RB</v>
          </cell>
          <cell r="D39" t="str">
            <v>RB15</v>
          </cell>
          <cell r="E39">
            <v>33</v>
          </cell>
        </row>
        <row r="40">
          <cell r="B40" t="str">
            <v>Terry McLaurin</v>
          </cell>
          <cell r="C40" t="str">
            <v>WR</v>
          </cell>
          <cell r="D40" t="str">
            <v>WR18</v>
          </cell>
          <cell r="E40">
            <v>37</v>
          </cell>
        </row>
        <row r="41">
          <cell r="B41" t="str">
            <v>Davante Adams</v>
          </cell>
          <cell r="C41" t="str">
            <v>WR</v>
          </cell>
          <cell r="D41" t="str">
            <v>WR19</v>
          </cell>
          <cell r="E41">
            <v>41</v>
          </cell>
        </row>
        <row r="42">
          <cell r="B42" t="str">
            <v>Jalen Hurts</v>
          </cell>
          <cell r="C42" t="str">
            <v>QB</v>
          </cell>
          <cell r="D42" t="str">
            <v>QB4</v>
          </cell>
          <cell r="E42">
            <v>42</v>
          </cell>
        </row>
        <row r="43">
          <cell r="B43" t="str">
            <v>Kenneth Walker III</v>
          </cell>
          <cell r="C43" t="str">
            <v>RB</v>
          </cell>
          <cell r="D43" t="str">
            <v>RB16</v>
          </cell>
          <cell r="E43">
            <v>40</v>
          </cell>
        </row>
        <row r="44">
          <cell r="B44" t="str">
            <v>Breece Hall</v>
          </cell>
          <cell r="C44" t="str">
            <v>RB</v>
          </cell>
          <cell r="D44" t="str">
            <v>RB17</v>
          </cell>
          <cell r="E44">
            <v>51</v>
          </cell>
        </row>
        <row r="45">
          <cell r="B45" t="str">
            <v>Tetairoa McMillan</v>
          </cell>
          <cell r="C45" t="str">
            <v>WR</v>
          </cell>
          <cell r="D45" t="str">
            <v>WR20</v>
          </cell>
          <cell r="E45">
            <v>44</v>
          </cell>
        </row>
        <row r="46">
          <cell r="B46" t="str">
            <v>Joe Burrow</v>
          </cell>
          <cell r="C46" t="str">
            <v>QB</v>
          </cell>
          <cell r="D46" t="str">
            <v>QB5</v>
          </cell>
          <cell r="E46">
            <v>45</v>
          </cell>
        </row>
        <row r="47">
          <cell r="B47" t="str">
            <v>Xavier Worthy</v>
          </cell>
          <cell r="C47" t="str">
            <v>WR</v>
          </cell>
          <cell r="D47" t="str">
            <v>WR21</v>
          </cell>
          <cell r="E47">
            <v>39</v>
          </cell>
        </row>
        <row r="48">
          <cell r="B48" t="str">
            <v>Courtland Sutton</v>
          </cell>
          <cell r="C48" t="str">
            <v>WR</v>
          </cell>
          <cell r="D48" t="str">
            <v>WR22</v>
          </cell>
          <cell r="E48">
            <v>47</v>
          </cell>
        </row>
        <row r="49">
          <cell r="B49" t="str">
            <v>Alvin Kamara</v>
          </cell>
          <cell r="C49" t="str">
            <v>RB</v>
          </cell>
          <cell r="D49" t="str">
            <v>RB18</v>
          </cell>
          <cell r="E49">
            <v>46</v>
          </cell>
        </row>
        <row r="50">
          <cell r="B50" t="str">
            <v>DJ Moore</v>
          </cell>
          <cell r="C50" t="str">
            <v>WR</v>
          </cell>
          <cell r="D50" t="str">
            <v>WR23</v>
          </cell>
          <cell r="E50">
            <v>54</v>
          </cell>
        </row>
        <row r="51">
          <cell r="B51" t="str">
            <v>Jameson Williams</v>
          </cell>
          <cell r="C51" t="str">
            <v>WR</v>
          </cell>
          <cell r="D51" t="str">
            <v>WR24</v>
          </cell>
          <cell r="E51">
            <v>49</v>
          </cell>
        </row>
        <row r="52">
          <cell r="B52" t="str">
            <v>Chuba Hubbard</v>
          </cell>
          <cell r="C52" t="str">
            <v>RB</v>
          </cell>
          <cell r="D52" t="str">
            <v>RB19</v>
          </cell>
          <cell r="E52">
            <v>52</v>
          </cell>
        </row>
        <row r="53">
          <cell r="B53" t="str">
            <v>George Pickens</v>
          </cell>
          <cell r="C53" t="str">
            <v>WR</v>
          </cell>
          <cell r="D53" t="str">
            <v>WR25</v>
          </cell>
          <cell r="E53">
            <v>48</v>
          </cell>
        </row>
        <row r="54">
          <cell r="B54" t="str">
            <v>DK Metcalf</v>
          </cell>
          <cell r="C54" t="str">
            <v>WR</v>
          </cell>
          <cell r="D54" t="str">
            <v>WR26</v>
          </cell>
          <cell r="E54">
            <v>53</v>
          </cell>
        </row>
        <row r="55">
          <cell r="B55" t="str">
            <v>Calvin Ridley</v>
          </cell>
          <cell r="C55" t="str">
            <v>WR</v>
          </cell>
          <cell r="D55" t="str">
            <v>WR27</v>
          </cell>
          <cell r="E55">
            <v>57</v>
          </cell>
        </row>
        <row r="56">
          <cell r="B56" t="str">
            <v>DeVonta Smith</v>
          </cell>
          <cell r="C56" t="str">
            <v>WR</v>
          </cell>
          <cell r="D56" t="str">
            <v>WR28</v>
          </cell>
          <cell r="E56">
            <v>58</v>
          </cell>
        </row>
        <row r="57">
          <cell r="B57" t="str">
            <v>James Conner</v>
          </cell>
          <cell r="C57" t="str">
            <v>RB</v>
          </cell>
          <cell r="D57" t="str">
            <v>RB20</v>
          </cell>
          <cell r="E57">
            <v>56</v>
          </cell>
        </row>
        <row r="58">
          <cell r="B58" t="str">
            <v>RJ Harvey</v>
          </cell>
          <cell r="C58" t="str">
            <v>RB</v>
          </cell>
          <cell r="D58" t="str">
            <v>RB21</v>
          </cell>
          <cell r="E58">
            <v>59</v>
          </cell>
        </row>
        <row r="59">
          <cell r="B59" t="str">
            <v>D'Andre Swift</v>
          </cell>
          <cell r="C59" t="str">
            <v>RB</v>
          </cell>
          <cell r="D59" t="str">
            <v>RB22</v>
          </cell>
          <cell r="E59">
            <v>63</v>
          </cell>
        </row>
        <row r="60">
          <cell r="B60" t="str">
            <v>Emeka Egbuka</v>
          </cell>
          <cell r="C60" t="str">
            <v>WR</v>
          </cell>
          <cell r="D60" t="str">
            <v>WR29</v>
          </cell>
          <cell r="E60">
            <v>50</v>
          </cell>
        </row>
        <row r="61">
          <cell r="B61" t="str">
            <v>Zay Flowers</v>
          </cell>
          <cell r="C61" t="str">
            <v>WR</v>
          </cell>
          <cell r="D61" t="str">
            <v>WR30</v>
          </cell>
          <cell r="E61">
            <v>61</v>
          </cell>
        </row>
        <row r="62">
          <cell r="B62" t="str">
            <v>Jaylen Waddle</v>
          </cell>
          <cell r="C62" t="str">
            <v>WR</v>
          </cell>
          <cell r="D62" t="str">
            <v>WR31</v>
          </cell>
          <cell r="E62">
            <v>62</v>
          </cell>
        </row>
        <row r="63">
          <cell r="B63" t="str">
            <v>Tony Pollard</v>
          </cell>
          <cell r="C63" t="str">
            <v>RB</v>
          </cell>
          <cell r="D63" t="str">
            <v>RB23</v>
          </cell>
          <cell r="E63">
            <v>60</v>
          </cell>
        </row>
        <row r="64">
          <cell r="B64" t="str">
            <v>Ricky Pearsall</v>
          </cell>
          <cell r="C64" t="str">
            <v>WR</v>
          </cell>
          <cell r="D64" t="str">
            <v>WR32</v>
          </cell>
          <cell r="E64">
            <v>55</v>
          </cell>
        </row>
        <row r="65">
          <cell r="B65" t="str">
            <v>Isiah Pacheco</v>
          </cell>
          <cell r="C65" t="str">
            <v>RB</v>
          </cell>
          <cell r="D65" t="str">
            <v>RB24</v>
          </cell>
          <cell r="E65">
            <v>65</v>
          </cell>
        </row>
        <row r="66">
          <cell r="B66" t="str">
            <v>Travis Hunter</v>
          </cell>
          <cell r="C66" t="str">
            <v>WR</v>
          </cell>
          <cell r="D66" t="str">
            <v>WR33</v>
          </cell>
          <cell r="E66">
            <v>66</v>
          </cell>
        </row>
        <row r="67">
          <cell r="B67" t="str">
            <v>David Montgomery</v>
          </cell>
          <cell r="C67" t="str">
            <v>RB</v>
          </cell>
          <cell r="D67" t="str">
            <v>RB25</v>
          </cell>
          <cell r="E67">
            <v>71</v>
          </cell>
        </row>
        <row r="68">
          <cell r="B68" t="str">
            <v>Rashee Rice</v>
          </cell>
          <cell r="C68" t="str">
            <v>WR</v>
          </cell>
          <cell r="D68" t="str">
            <v>WR34</v>
          </cell>
          <cell r="E68">
            <v>69</v>
          </cell>
        </row>
        <row r="69">
          <cell r="B69" t="str">
            <v>Sam LaPorta</v>
          </cell>
          <cell r="C69" t="str">
            <v>TE</v>
          </cell>
          <cell r="D69" t="str">
            <v>TE4</v>
          </cell>
          <cell r="E69">
            <v>67</v>
          </cell>
        </row>
        <row r="70">
          <cell r="B70" t="str">
            <v>Patrick Mahomes II</v>
          </cell>
          <cell r="C70" t="str">
            <v>QB</v>
          </cell>
          <cell r="D70" t="str">
            <v>QB6</v>
          </cell>
          <cell r="E70">
            <v>72</v>
          </cell>
        </row>
        <row r="71">
          <cell r="B71" t="str">
            <v>Jerry Jeudy</v>
          </cell>
          <cell r="C71" t="str">
            <v>WR</v>
          </cell>
          <cell r="D71" t="str">
            <v>WR35</v>
          </cell>
          <cell r="E71">
            <v>73</v>
          </cell>
        </row>
        <row r="72">
          <cell r="B72" t="str">
            <v>Rome Odunze</v>
          </cell>
          <cell r="C72" t="str">
            <v>WR</v>
          </cell>
          <cell r="D72" t="str">
            <v>WR36</v>
          </cell>
          <cell r="E72">
            <v>70</v>
          </cell>
        </row>
        <row r="73">
          <cell r="B73" t="str">
            <v>Aaron Jones Sr.</v>
          </cell>
          <cell r="C73" t="str">
            <v>RB</v>
          </cell>
          <cell r="D73" t="str">
            <v>RB26</v>
          </cell>
          <cell r="E73">
            <v>75</v>
          </cell>
        </row>
        <row r="74">
          <cell r="B74" t="str">
            <v>Matthew Golden</v>
          </cell>
          <cell r="C74" t="str">
            <v>WR</v>
          </cell>
          <cell r="D74" t="str">
            <v>WR37</v>
          </cell>
          <cell r="E74">
            <v>64</v>
          </cell>
        </row>
        <row r="75">
          <cell r="B75" t="str">
            <v>Deebo Samuel Sr.</v>
          </cell>
          <cell r="C75" t="str">
            <v>WR</v>
          </cell>
          <cell r="D75" t="str">
            <v>WR38</v>
          </cell>
          <cell r="E75">
            <v>68</v>
          </cell>
        </row>
        <row r="76">
          <cell r="B76" t="str">
            <v>Chris Olave</v>
          </cell>
          <cell r="C76" t="str">
            <v>WR</v>
          </cell>
          <cell r="D76" t="str">
            <v>WR39</v>
          </cell>
          <cell r="E76">
            <v>77</v>
          </cell>
        </row>
        <row r="77">
          <cell r="B77" t="str">
            <v>Stefon Diggs</v>
          </cell>
          <cell r="C77" t="str">
            <v>WR</v>
          </cell>
          <cell r="D77" t="str">
            <v>WR40</v>
          </cell>
          <cell r="E77">
            <v>76</v>
          </cell>
        </row>
        <row r="78">
          <cell r="B78" t="str">
            <v>Travis Kelce</v>
          </cell>
          <cell r="C78" t="str">
            <v>TE</v>
          </cell>
          <cell r="D78" t="str">
            <v>TE5</v>
          </cell>
          <cell r="E78">
            <v>78</v>
          </cell>
        </row>
        <row r="79">
          <cell r="B79" t="str">
            <v>Tyrone Tracy Jr.</v>
          </cell>
          <cell r="C79" t="str">
            <v>RB</v>
          </cell>
          <cell r="D79" t="str">
            <v>RB27</v>
          </cell>
          <cell r="E79">
            <v>81</v>
          </cell>
        </row>
        <row r="80">
          <cell r="B80" t="str">
            <v>Kaleb Johnson</v>
          </cell>
          <cell r="C80" t="str">
            <v>RB</v>
          </cell>
          <cell r="D80" t="str">
            <v>RB28</v>
          </cell>
          <cell r="E80">
            <v>88</v>
          </cell>
        </row>
        <row r="81">
          <cell r="B81" t="str">
            <v>Baker Mayfield</v>
          </cell>
          <cell r="C81" t="str">
            <v>QB</v>
          </cell>
          <cell r="D81" t="str">
            <v>QB7</v>
          </cell>
          <cell r="E81">
            <v>79</v>
          </cell>
        </row>
        <row r="82">
          <cell r="B82" t="str">
            <v>Jakobi Meyers</v>
          </cell>
          <cell r="C82" t="str">
            <v>WR</v>
          </cell>
          <cell r="D82" t="str">
            <v>WR41</v>
          </cell>
          <cell r="E82">
            <v>80</v>
          </cell>
        </row>
        <row r="83">
          <cell r="B83" t="str">
            <v>Bo Nix</v>
          </cell>
          <cell r="C83" t="str">
            <v>QB</v>
          </cell>
          <cell r="D83" t="str">
            <v>QB8</v>
          </cell>
          <cell r="E83">
            <v>83</v>
          </cell>
        </row>
        <row r="84">
          <cell r="B84" t="str">
            <v>T.J. Hockenson</v>
          </cell>
          <cell r="C84" t="str">
            <v>TE</v>
          </cell>
          <cell r="D84" t="str">
            <v>TE6</v>
          </cell>
          <cell r="E84">
            <v>84</v>
          </cell>
        </row>
        <row r="85">
          <cell r="B85" t="str">
            <v>Jordan Addison</v>
          </cell>
          <cell r="C85" t="str">
            <v>WR</v>
          </cell>
          <cell r="D85" t="str">
            <v>WR42</v>
          </cell>
          <cell r="E85">
            <v>90</v>
          </cell>
        </row>
        <row r="86">
          <cell r="B86" t="str">
            <v>Jordan Mason</v>
          </cell>
          <cell r="C86" t="str">
            <v>RB</v>
          </cell>
          <cell r="D86" t="str">
            <v>RB29</v>
          </cell>
          <cell r="E86">
            <v>86</v>
          </cell>
        </row>
        <row r="87">
          <cell r="B87" t="str">
            <v>Jaylen Warren</v>
          </cell>
          <cell r="C87" t="str">
            <v>RB</v>
          </cell>
          <cell r="D87" t="str">
            <v>RB30</v>
          </cell>
          <cell r="E87">
            <v>91</v>
          </cell>
        </row>
        <row r="88">
          <cell r="B88" t="str">
            <v>Tyler Warren</v>
          </cell>
          <cell r="C88" t="str">
            <v>TE</v>
          </cell>
          <cell r="D88" t="str">
            <v>TE7</v>
          </cell>
          <cell r="E88">
            <v>74</v>
          </cell>
        </row>
        <row r="89">
          <cell r="B89" t="str">
            <v>Jauan Jennings</v>
          </cell>
          <cell r="C89" t="str">
            <v>WR</v>
          </cell>
          <cell r="D89" t="str">
            <v>WR43</v>
          </cell>
          <cell r="E89">
            <v>92</v>
          </cell>
        </row>
        <row r="90">
          <cell r="B90" t="str">
            <v>Zach Charbonnet</v>
          </cell>
          <cell r="C90" t="str">
            <v>RB</v>
          </cell>
          <cell r="D90" t="str">
            <v>RB31</v>
          </cell>
          <cell r="E90">
            <v>93</v>
          </cell>
        </row>
        <row r="91">
          <cell r="B91" t="str">
            <v>Dak Prescott</v>
          </cell>
          <cell r="C91" t="str">
            <v>QB</v>
          </cell>
          <cell r="D91" t="str">
            <v>QB9</v>
          </cell>
          <cell r="E91">
            <v>87</v>
          </cell>
        </row>
        <row r="92">
          <cell r="B92" t="str">
            <v>Khalil Shakir</v>
          </cell>
          <cell r="C92" t="str">
            <v>WR</v>
          </cell>
          <cell r="D92" t="str">
            <v>WR44</v>
          </cell>
          <cell r="E92">
            <v>94</v>
          </cell>
        </row>
        <row r="93">
          <cell r="B93" t="str">
            <v>Cooper Kupp</v>
          </cell>
          <cell r="C93" t="str">
            <v>WR</v>
          </cell>
          <cell r="D93" t="str">
            <v>WR45</v>
          </cell>
          <cell r="E93">
            <v>85</v>
          </cell>
        </row>
        <row r="94">
          <cell r="B94" t="str">
            <v>Keon Coleman</v>
          </cell>
          <cell r="C94" t="str">
            <v>WR</v>
          </cell>
          <cell r="D94" t="str">
            <v>WR46</v>
          </cell>
          <cell r="E94">
            <v>89</v>
          </cell>
        </row>
        <row r="95">
          <cell r="B95" t="str">
            <v>Mark Andrews</v>
          </cell>
          <cell r="C95" t="str">
            <v>TE</v>
          </cell>
          <cell r="D95" t="str">
            <v>TE8</v>
          </cell>
          <cell r="E95">
            <v>97</v>
          </cell>
        </row>
        <row r="96">
          <cell r="B96" t="str">
            <v>Kyler Murray</v>
          </cell>
          <cell r="C96" t="str">
            <v>QB</v>
          </cell>
          <cell r="D96" t="str">
            <v>QB10</v>
          </cell>
          <cell r="E96">
            <v>98</v>
          </cell>
        </row>
        <row r="97">
          <cell r="B97" t="str">
            <v>Jacory Croskey-Merritt</v>
          </cell>
          <cell r="C97" t="str">
            <v>RB</v>
          </cell>
          <cell r="D97" t="str">
            <v>RB32</v>
          </cell>
          <cell r="E97">
            <v>82</v>
          </cell>
        </row>
        <row r="98">
          <cell r="B98" t="str">
            <v>Michael Pittman Jr.</v>
          </cell>
          <cell r="C98" t="str">
            <v>WR</v>
          </cell>
          <cell r="D98" t="str">
            <v>WR47</v>
          </cell>
          <cell r="E98">
            <v>96</v>
          </cell>
        </row>
        <row r="99">
          <cell r="B99" t="str">
            <v>J.K. Dobbins</v>
          </cell>
          <cell r="C99" t="str">
            <v>RB</v>
          </cell>
          <cell r="D99" t="str">
            <v>RB33</v>
          </cell>
          <cell r="E99">
            <v>100</v>
          </cell>
        </row>
        <row r="100">
          <cell r="B100" t="str">
            <v>Evan Engram</v>
          </cell>
          <cell r="C100" t="str">
            <v>TE</v>
          </cell>
          <cell r="D100" t="str">
            <v>TE9</v>
          </cell>
          <cell r="E100">
            <v>95</v>
          </cell>
        </row>
        <row r="101">
          <cell r="B101" t="str">
            <v>Travis Etienne Jr.</v>
          </cell>
          <cell r="C101" t="str">
            <v>RB</v>
          </cell>
          <cell r="D101" t="str">
            <v>RB34</v>
          </cell>
          <cell r="E101">
            <v>99</v>
          </cell>
        </row>
        <row r="102">
          <cell r="B102" t="str">
            <v>Brock Purdy</v>
          </cell>
          <cell r="C102" t="str">
            <v>QB</v>
          </cell>
          <cell r="D102" t="str">
            <v>QB11</v>
          </cell>
          <cell r="E102">
            <v>101</v>
          </cell>
        </row>
        <row r="103">
          <cell r="B103" t="str">
            <v>Josh Downs</v>
          </cell>
          <cell r="C103" t="str">
            <v>WR</v>
          </cell>
          <cell r="D103" t="str">
            <v>WR48</v>
          </cell>
          <cell r="E103">
            <v>103</v>
          </cell>
        </row>
        <row r="104">
          <cell r="B104" t="str">
            <v>Caleb Williams</v>
          </cell>
          <cell r="C104" t="str">
            <v>QB</v>
          </cell>
          <cell r="D104" t="str">
            <v>QB12</v>
          </cell>
          <cell r="E104">
            <v>111</v>
          </cell>
        </row>
        <row r="105">
          <cell r="B105" t="str">
            <v>Justin Fields</v>
          </cell>
          <cell r="C105" t="str">
            <v>QB</v>
          </cell>
          <cell r="D105" t="str">
            <v>QB13</v>
          </cell>
          <cell r="E105">
            <v>108</v>
          </cell>
        </row>
        <row r="106">
          <cell r="B106" t="str">
            <v>Jared Goff</v>
          </cell>
          <cell r="C106" t="str">
            <v>QB</v>
          </cell>
          <cell r="D106" t="str">
            <v>QB14</v>
          </cell>
          <cell r="E106">
            <v>104</v>
          </cell>
        </row>
        <row r="107">
          <cell r="B107" t="str">
            <v>David Njoku</v>
          </cell>
          <cell r="C107" t="str">
            <v>TE</v>
          </cell>
          <cell r="D107" t="str">
            <v>TE10</v>
          </cell>
          <cell r="E107">
            <v>102</v>
          </cell>
        </row>
        <row r="108">
          <cell r="B108" t="str">
            <v>Tucker Kraft</v>
          </cell>
          <cell r="C108" t="str">
            <v>TE</v>
          </cell>
          <cell r="D108" t="str">
            <v>TE11</v>
          </cell>
          <cell r="E108">
            <v>109</v>
          </cell>
        </row>
        <row r="109">
          <cell r="B109" t="str">
            <v>Jayden Reed</v>
          </cell>
          <cell r="C109" t="str">
            <v>WR</v>
          </cell>
          <cell r="D109" t="str">
            <v>WR49</v>
          </cell>
          <cell r="E109">
            <v>116</v>
          </cell>
        </row>
        <row r="110">
          <cell r="B110" t="str">
            <v>Chris Godwin Jr.</v>
          </cell>
          <cell r="C110" t="str">
            <v>WR</v>
          </cell>
          <cell r="D110" t="str">
            <v>WR50</v>
          </cell>
          <cell r="E110">
            <v>110</v>
          </cell>
        </row>
        <row r="111">
          <cell r="B111" t="str">
            <v>Colston Loveland</v>
          </cell>
          <cell r="C111" t="str">
            <v>TE</v>
          </cell>
          <cell r="D111" t="str">
            <v>TE12</v>
          </cell>
          <cell r="E111">
            <v>107</v>
          </cell>
        </row>
        <row r="112">
          <cell r="B112" t="str">
            <v>Drake Maye</v>
          </cell>
          <cell r="C112" t="str">
            <v>QB</v>
          </cell>
          <cell r="D112" t="str">
            <v>QB15</v>
          </cell>
          <cell r="E112">
            <v>113</v>
          </cell>
        </row>
        <row r="113">
          <cell r="B113" t="str">
            <v>Javonte Williams</v>
          </cell>
          <cell r="C113" t="str">
            <v>RB</v>
          </cell>
          <cell r="D113" t="str">
            <v>RB35</v>
          </cell>
          <cell r="E113">
            <v>106</v>
          </cell>
        </row>
        <row r="114">
          <cell r="B114" t="str">
            <v>Cam Skattebo</v>
          </cell>
          <cell r="C114" t="str">
            <v>RB</v>
          </cell>
          <cell r="D114" t="str">
            <v>RB36</v>
          </cell>
          <cell r="E114">
            <v>119</v>
          </cell>
        </row>
        <row r="115">
          <cell r="B115" t="str">
            <v>Rashid Shaheed</v>
          </cell>
          <cell r="C115" t="str">
            <v>WR</v>
          </cell>
          <cell r="D115" t="str">
            <v>WR51</v>
          </cell>
          <cell r="E115">
            <v>115</v>
          </cell>
        </row>
        <row r="116">
          <cell r="B116" t="str">
            <v>Justin Herbert</v>
          </cell>
          <cell r="C116" t="str">
            <v>QB</v>
          </cell>
          <cell r="D116" t="str">
            <v>QB16</v>
          </cell>
          <cell r="E116">
            <v>120</v>
          </cell>
        </row>
        <row r="117">
          <cell r="B117" t="str">
            <v>Darnell Mooney</v>
          </cell>
          <cell r="C117" t="str">
            <v>WR</v>
          </cell>
          <cell r="D117" t="str">
            <v>WR52</v>
          </cell>
          <cell r="E117">
            <v>126</v>
          </cell>
        </row>
        <row r="118">
          <cell r="B118" t="str">
            <v>Jayden Higgins</v>
          </cell>
          <cell r="C118" t="str">
            <v>WR</v>
          </cell>
          <cell r="D118" t="str">
            <v>WR53</v>
          </cell>
          <cell r="E118">
            <v>118</v>
          </cell>
        </row>
        <row r="119">
          <cell r="B119" t="str">
            <v>Braelon Allen</v>
          </cell>
          <cell r="C119" t="str">
            <v>RB</v>
          </cell>
          <cell r="D119" t="str">
            <v>RB37</v>
          </cell>
          <cell r="E119">
            <v>122</v>
          </cell>
        </row>
        <row r="120">
          <cell r="B120" t="str">
            <v>Keenan Allen</v>
          </cell>
          <cell r="C120" t="str">
            <v>WR</v>
          </cell>
          <cell r="D120" t="str">
            <v>WR54</v>
          </cell>
          <cell r="E120">
            <v>105</v>
          </cell>
        </row>
        <row r="121">
          <cell r="B121" t="str">
            <v>Tank Bigsby</v>
          </cell>
          <cell r="C121" t="str">
            <v>RB</v>
          </cell>
          <cell r="D121" t="str">
            <v>RB38</v>
          </cell>
          <cell r="E121">
            <v>133</v>
          </cell>
        </row>
        <row r="122">
          <cell r="B122" t="str">
            <v>Christian Kirk</v>
          </cell>
          <cell r="C122" t="str">
            <v>WR</v>
          </cell>
          <cell r="D122" t="str">
            <v>WR55</v>
          </cell>
          <cell r="E122">
            <v>117</v>
          </cell>
        </row>
        <row r="123">
          <cell r="B123" t="str">
            <v>Marvin Mims Jr.</v>
          </cell>
          <cell r="C123" t="str">
            <v>WR</v>
          </cell>
          <cell r="D123" t="str">
            <v>WR56</v>
          </cell>
          <cell r="E123">
            <v>121</v>
          </cell>
        </row>
        <row r="124">
          <cell r="B124" t="str">
            <v>J.J. McCarthy</v>
          </cell>
          <cell r="C124" t="str">
            <v>QB</v>
          </cell>
          <cell r="D124" t="str">
            <v>QB17</v>
          </cell>
          <cell r="E124">
            <v>124</v>
          </cell>
        </row>
        <row r="125">
          <cell r="B125" t="str">
            <v>C.J. Stroud</v>
          </cell>
          <cell r="C125" t="str">
            <v>QB</v>
          </cell>
          <cell r="D125" t="str">
            <v>QB18</v>
          </cell>
          <cell r="E125">
            <v>127</v>
          </cell>
        </row>
        <row r="126">
          <cell r="B126" t="str">
            <v>Rhamondre Stevenson</v>
          </cell>
          <cell r="C126" t="str">
            <v>RB</v>
          </cell>
          <cell r="D126" t="str">
            <v>RB39</v>
          </cell>
          <cell r="E126">
            <v>139</v>
          </cell>
        </row>
        <row r="127">
          <cell r="B127" t="str">
            <v>Jordan Love</v>
          </cell>
          <cell r="C127" t="str">
            <v>QB</v>
          </cell>
          <cell r="D127" t="str">
            <v>QB19</v>
          </cell>
          <cell r="E127">
            <v>129</v>
          </cell>
        </row>
        <row r="128">
          <cell r="B128" t="str">
            <v>Trevor Lawrence</v>
          </cell>
          <cell r="C128" t="str">
            <v>QB</v>
          </cell>
          <cell r="D128" t="str">
            <v>QB20</v>
          </cell>
          <cell r="E128">
            <v>132</v>
          </cell>
        </row>
        <row r="129">
          <cell r="B129" t="str">
            <v>Brian Robinson Jr.</v>
          </cell>
          <cell r="C129" t="str">
            <v>RB</v>
          </cell>
          <cell r="D129" t="str">
            <v>RB40</v>
          </cell>
          <cell r="E129">
            <v>128</v>
          </cell>
        </row>
        <row r="130">
          <cell r="B130" t="str">
            <v>Luther Burden III</v>
          </cell>
          <cell r="C130" t="str">
            <v>WR</v>
          </cell>
          <cell r="D130" t="str">
            <v>WR57</v>
          </cell>
          <cell r="E130">
            <v>135</v>
          </cell>
        </row>
        <row r="131">
          <cell r="B131" t="str">
            <v>Dalton Kincaid</v>
          </cell>
          <cell r="C131" t="str">
            <v>TE</v>
          </cell>
          <cell r="D131" t="str">
            <v>TE13</v>
          </cell>
          <cell r="E131">
            <v>130</v>
          </cell>
        </row>
        <row r="132">
          <cell r="B132" t="str">
            <v>Jake Ferguson</v>
          </cell>
          <cell r="C132" t="str">
            <v>TE</v>
          </cell>
          <cell r="D132" t="str">
            <v>TE14</v>
          </cell>
          <cell r="E132">
            <v>134</v>
          </cell>
        </row>
        <row r="133">
          <cell r="B133" t="str">
            <v>Jaydon Blue</v>
          </cell>
          <cell r="C133" t="str">
            <v>RB</v>
          </cell>
          <cell r="D133" t="str">
            <v>RB41</v>
          </cell>
          <cell r="E133">
            <v>142</v>
          </cell>
        </row>
        <row r="134">
          <cell r="B134" t="str">
            <v>Joe Mixon</v>
          </cell>
          <cell r="C134" t="str">
            <v>RB</v>
          </cell>
          <cell r="D134" t="str">
            <v>RB42</v>
          </cell>
          <cell r="E134">
            <v>140</v>
          </cell>
        </row>
        <row r="135">
          <cell r="B135" t="str">
            <v>Rashod Bateman</v>
          </cell>
          <cell r="C135" t="str">
            <v>WR</v>
          </cell>
          <cell r="D135" t="str">
            <v>WR58</v>
          </cell>
          <cell r="E135">
            <v>123</v>
          </cell>
        </row>
        <row r="136">
          <cell r="B136" t="str">
            <v>Trey Benson</v>
          </cell>
          <cell r="C136" t="str">
            <v>RB</v>
          </cell>
          <cell r="D136" t="str">
            <v>RB43</v>
          </cell>
          <cell r="E136">
            <v>143</v>
          </cell>
        </row>
        <row r="137">
          <cell r="B137" t="str">
            <v>Quinshon Judkins</v>
          </cell>
          <cell r="C137" t="str">
            <v>RB</v>
          </cell>
          <cell r="D137" t="str">
            <v>RB44</v>
          </cell>
          <cell r="E137">
            <v>136</v>
          </cell>
        </row>
        <row r="138">
          <cell r="B138" t="str">
            <v>Bhayshul Tuten</v>
          </cell>
          <cell r="C138" t="str">
            <v>RB</v>
          </cell>
          <cell r="D138" t="str">
            <v>RB45</v>
          </cell>
          <cell r="E138">
            <v>144</v>
          </cell>
        </row>
        <row r="139">
          <cell r="B139" t="str">
            <v>Nick Chubb</v>
          </cell>
          <cell r="C139" t="str">
            <v>RB</v>
          </cell>
          <cell r="D139" t="str">
            <v>RB46</v>
          </cell>
          <cell r="E139">
            <v>112</v>
          </cell>
        </row>
        <row r="140">
          <cell r="B140" t="str">
            <v>Kyle Pitts Sr.</v>
          </cell>
          <cell r="C140" t="str">
            <v>TE</v>
          </cell>
          <cell r="D140" t="str">
            <v>TE15</v>
          </cell>
          <cell r="E140">
            <v>125</v>
          </cell>
        </row>
        <row r="141">
          <cell r="B141" t="str">
            <v>Dylan Sampson</v>
          </cell>
          <cell r="C141" t="str">
            <v>RB</v>
          </cell>
          <cell r="D141" t="str">
            <v>RB47</v>
          </cell>
          <cell r="E141">
            <v>148</v>
          </cell>
        </row>
        <row r="142">
          <cell r="B142" t="str">
            <v>Michael Penix Jr.</v>
          </cell>
          <cell r="C142" t="str">
            <v>QB</v>
          </cell>
          <cell r="D142" t="str">
            <v>QB21</v>
          </cell>
          <cell r="E142">
            <v>137</v>
          </cell>
        </row>
        <row r="143">
          <cell r="B143" t="str">
            <v>Dallas Goedert</v>
          </cell>
          <cell r="C143" t="str">
            <v>TE</v>
          </cell>
          <cell r="D143" t="str">
            <v>TE16</v>
          </cell>
          <cell r="E143">
            <v>141</v>
          </cell>
        </row>
        <row r="144">
          <cell r="B144" t="str">
            <v>Ollie Gordon II</v>
          </cell>
          <cell r="C144" t="str">
            <v>RB</v>
          </cell>
          <cell r="D144" t="str">
            <v>RB48</v>
          </cell>
          <cell r="E144">
            <v>131</v>
          </cell>
        </row>
        <row r="145">
          <cell r="B145" t="str">
            <v>Najee Harris</v>
          </cell>
          <cell r="C145" t="str">
            <v>RB</v>
          </cell>
          <cell r="D145" t="str">
            <v>RB49</v>
          </cell>
          <cell r="E145">
            <v>154</v>
          </cell>
        </row>
        <row r="146">
          <cell r="B146" t="str">
            <v>Brandon Aiyuk</v>
          </cell>
          <cell r="C146" t="str">
            <v>WR</v>
          </cell>
          <cell r="D146" t="str">
            <v>WR59</v>
          </cell>
          <cell r="E146">
            <v>151</v>
          </cell>
        </row>
        <row r="147">
          <cell r="B147" t="str">
            <v>Tua Tagovailoa</v>
          </cell>
          <cell r="C147" t="str">
            <v>QB</v>
          </cell>
          <cell r="D147" t="str">
            <v>QB22</v>
          </cell>
          <cell r="E147">
            <v>146</v>
          </cell>
        </row>
        <row r="148">
          <cell r="B148" t="str">
            <v>Bryce Young</v>
          </cell>
          <cell r="C148" t="str">
            <v>QB</v>
          </cell>
          <cell r="D148" t="str">
            <v>QB23</v>
          </cell>
          <cell r="E148">
            <v>149</v>
          </cell>
        </row>
        <row r="149">
          <cell r="B149" t="str">
            <v>Ray Davis</v>
          </cell>
          <cell r="C149" t="str">
            <v>RB</v>
          </cell>
          <cell r="D149" t="str">
            <v>RB50</v>
          </cell>
          <cell r="E149">
            <v>157</v>
          </cell>
        </row>
        <row r="150">
          <cell r="B150" t="str">
            <v>Cedric Tillman</v>
          </cell>
          <cell r="C150" t="str">
            <v>WR</v>
          </cell>
          <cell r="D150" t="str">
            <v>WR60</v>
          </cell>
          <cell r="E150">
            <v>156</v>
          </cell>
        </row>
        <row r="151">
          <cell r="B151" t="str">
            <v>Joshua Palmer</v>
          </cell>
          <cell r="C151" t="str">
            <v>WR</v>
          </cell>
          <cell r="D151" t="str">
            <v>WR61</v>
          </cell>
          <cell r="E151">
            <v>150</v>
          </cell>
        </row>
        <row r="152">
          <cell r="B152" t="str">
            <v>Hollywood Brown</v>
          </cell>
          <cell r="C152" t="str">
            <v>WR</v>
          </cell>
          <cell r="D152" t="str">
            <v>WR62</v>
          </cell>
          <cell r="E152">
            <v>166</v>
          </cell>
        </row>
        <row r="153">
          <cell r="B153" t="str">
            <v>Cam Ward</v>
          </cell>
          <cell r="C153" t="str">
            <v>QB</v>
          </cell>
          <cell r="D153" t="str">
            <v>QB24</v>
          </cell>
          <cell r="E153">
            <v>152</v>
          </cell>
        </row>
        <row r="154">
          <cell r="B154" t="str">
            <v>Jerome Ford</v>
          </cell>
          <cell r="C154" t="str">
            <v>RB</v>
          </cell>
          <cell r="D154" t="str">
            <v>RB51</v>
          </cell>
          <cell r="E154">
            <v>161</v>
          </cell>
        </row>
        <row r="155">
          <cell r="B155" t="str">
            <v>Zach Ertz</v>
          </cell>
          <cell r="C155" t="str">
            <v>TE</v>
          </cell>
          <cell r="D155" t="str">
            <v>TE17</v>
          </cell>
          <cell r="E155">
            <v>145</v>
          </cell>
        </row>
        <row r="156">
          <cell r="B156" t="str">
            <v>DeMario Douglas</v>
          </cell>
          <cell r="C156" t="str">
            <v>WR</v>
          </cell>
          <cell r="D156" t="str">
            <v>WR63</v>
          </cell>
          <cell r="E156">
            <v>147</v>
          </cell>
        </row>
        <row r="157">
          <cell r="B157" t="str">
            <v>Rachaad White</v>
          </cell>
          <cell r="C157" t="str">
            <v>RB</v>
          </cell>
          <cell r="D157" t="str">
            <v>RB52</v>
          </cell>
          <cell r="E157">
            <v>165</v>
          </cell>
        </row>
        <row r="158">
          <cell r="B158" t="str">
            <v>Geno Smith</v>
          </cell>
          <cell r="C158" t="str">
            <v>QB</v>
          </cell>
          <cell r="D158" t="str">
            <v>QB25</v>
          </cell>
          <cell r="E158">
            <v>159</v>
          </cell>
        </row>
        <row r="159">
          <cell r="B159" t="str">
            <v>Romeo Doubs</v>
          </cell>
          <cell r="C159" t="str">
            <v>WR</v>
          </cell>
          <cell r="D159" t="str">
            <v>WR64</v>
          </cell>
          <cell r="E159">
            <v>153</v>
          </cell>
        </row>
        <row r="160">
          <cell r="B160" t="str">
            <v>Brenton Strange</v>
          </cell>
          <cell r="C160" t="str">
            <v>TE</v>
          </cell>
          <cell r="D160" t="str">
            <v>TE18</v>
          </cell>
          <cell r="E160">
            <v>155</v>
          </cell>
        </row>
        <row r="161">
          <cell r="B161" t="str">
            <v>Hunter Henry</v>
          </cell>
          <cell r="C161" t="str">
            <v>TE</v>
          </cell>
          <cell r="D161" t="str">
            <v>TE19</v>
          </cell>
          <cell r="E161">
            <v>163</v>
          </cell>
        </row>
        <row r="162">
          <cell r="B162" t="str">
            <v>Xavier Legette</v>
          </cell>
          <cell r="C162" t="str">
            <v>WR</v>
          </cell>
          <cell r="D162" t="str">
            <v>WR65</v>
          </cell>
          <cell r="E162">
            <v>160</v>
          </cell>
        </row>
        <row r="163">
          <cell r="B163" t="str">
            <v>Tyler Allgeier</v>
          </cell>
          <cell r="C163" t="str">
            <v>RB</v>
          </cell>
          <cell r="D163" t="str">
            <v>RB53</v>
          </cell>
          <cell r="E163">
            <v>168</v>
          </cell>
        </row>
        <row r="164">
          <cell r="B164" t="str">
            <v>Adam Thielen</v>
          </cell>
          <cell r="C164" t="str">
            <v>WR</v>
          </cell>
          <cell r="D164" t="str">
            <v>WR66</v>
          </cell>
          <cell r="E164">
            <v>138</v>
          </cell>
        </row>
        <row r="165">
          <cell r="B165" t="str">
            <v>Matthew Stafford</v>
          </cell>
          <cell r="C165" t="str">
            <v>QB</v>
          </cell>
          <cell r="D165" t="str">
            <v>QB26</v>
          </cell>
          <cell r="E165">
            <v>164</v>
          </cell>
        </row>
        <row r="166">
          <cell r="B166" t="str">
            <v>Chig Okonkwo</v>
          </cell>
          <cell r="C166" t="str">
            <v>TE</v>
          </cell>
          <cell r="D166" t="str">
            <v>TE20</v>
          </cell>
          <cell r="E166">
            <v>170</v>
          </cell>
        </row>
        <row r="167">
          <cell r="B167" t="str">
            <v>Sam Darnold</v>
          </cell>
          <cell r="C167" t="str">
            <v>QB</v>
          </cell>
          <cell r="D167" t="str">
            <v>QB27</v>
          </cell>
          <cell r="E167">
            <v>167</v>
          </cell>
        </row>
        <row r="168">
          <cell r="B168" t="str">
            <v>Rico Dowdle</v>
          </cell>
          <cell r="C168" t="str">
            <v>RB</v>
          </cell>
          <cell r="D168" t="str">
            <v>RB54</v>
          </cell>
          <cell r="E168">
            <v>174</v>
          </cell>
        </row>
        <row r="169">
          <cell r="B169" t="str">
            <v>Dont'e Thornton Jr.</v>
          </cell>
          <cell r="C169" t="str">
            <v>WR</v>
          </cell>
          <cell r="D169" t="str">
            <v>WR67</v>
          </cell>
          <cell r="E169">
            <v>158</v>
          </cell>
        </row>
        <row r="170">
          <cell r="B170" t="str">
            <v>Jonnu Smith</v>
          </cell>
          <cell r="C170" t="str">
            <v>TE</v>
          </cell>
          <cell r="D170" t="str">
            <v>TE21</v>
          </cell>
          <cell r="E170">
            <v>175</v>
          </cell>
        </row>
        <row r="171">
          <cell r="B171" t="str">
            <v>Wan'Dale Robinson</v>
          </cell>
          <cell r="C171" t="str">
            <v>WR</v>
          </cell>
          <cell r="D171" t="str">
            <v>WR68</v>
          </cell>
          <cell r="E171">
            <v>169</v>
          </cell>
        </row>
        <row r="172">
          <cell r="B172" t="str">
            <v>Tyjae Spears</v>
          </cell>
          <cell r="C172" t="str">
            <v>RB</v>
          </cell>
          <cell r="D172" t="str">
            <v>RB55</v>
          </cell>
          <cell r="E172">
            <v>180</v>
          </cell>
        </row>
        <row r="173">
          <cell r="B173" t="str">
            <v>Tre' Harris</v>
          </cell>
          <cell r="C173" t="str">
            <v>WR</v>
          </cell>
          <cell r="D173" t="str">
            <v>WR69</v>
          </cell>
          <cell r="E173">
            <v>171</v>
          </cell>
        </row>
        <row r="174">
          <cell r="B174" t="str">
            <v>Isaiah Likely</v>
          </cell>
          <cell r="C174" t="str">
            <v>TE</v>
          </cell>
          <cell r="D174" t="str">
            <v>TE22</v>
          </cell>
          <cell r="E174">
            <v>173</v>
          </cell>
        </row>
        <row r="175">
          <cell r="B175" t="str">
            <v>Woody Marks</v>
          </cell>
          <cell r="C175" t="str">
            <v>RB</v>
          </cell>
          <cell r="D175" t="str">
            <v>RB56</v>
          </cell>
          <cell r="E175">
            <v>172</v>
          </cell>
        </row>
        <row r="176">
          <cell r="B176" t="str">
            <v>Isaac TeSlaa</v>
          </cell>
          <cell r="C176" t="str">
            <v>WR</v>
          </cell>
          <cell r="D176" t="str">
            <v>WR70</v>
          </cell>
          <cell r="E176">
            <v>162</v>
          </cell>
        </row>
        <row r="177">
          <cell r="B177" t="str">
            <v>Kyle Williams</v>
          </cell>
          <cell r="C177" t="str">
            <v>WR</v>
          </cell>
          <cell r="D177" t="str">
            <v>WR71</v>
          </cell>
          <cell r="E177">
            <v>176</v>
          </cell>
        </row>
        <row r="178">
          <cell r="B178" t="str">
            <v>Will Shipley</v>
          </cell>
          <cell r="C178" t="str">
            <v>RB</v>
          </cell>
          <cell r="D178" t="str">
            <v>RB57</v>
          </cell>
          <cell r="E178">
            <v>178</v>
          </cell>
        </row>
        <row r="179">
          <cell r="B179" t="str">
            <v>Mason Taylor</v>
          </cell>
          <cell r="C179" t="str">
            <v>TE</v>
          </cell>
          <cell r="D179" t="str">
            <v>TE23</v>
          </cell>
          <cell r="E179">
            <v>181</v>
          </cell>
        </row>
        <row r="180">
          <cell r="B180" t="str">
            <v>Cade Otton</v>
          </cell>
          <cell r="C180" t="str">
            <v>TE</v>
          </cell>
          <cell r="D180" t="str">
            <v>TE24</v>
          </cell>
          <cell r="E180">
            <v>182</v>
          </cell>
        </row>
        <row r="181">
          <cell r="B181" t="str">
            <v>Aaron Rodgers</v>
          </cell>
          <cell r="C181" t="str">
            <v>QB</v>
          </cell>
          <cell r="D181" t="str">
            <v>QB28</v>
          </cell>
          <cell r="E181">
            <v>179</v>
          </cell>
        </row>
        <row r="182">
          <cell r="B182" t="str">
            <v>Chris Rodriguez Jr.</v>
          </cell>
          <cell r="C182" t="str">
            <v>RB</v>
          </cell>
          <cell r="D182" t="str">
            <v>RB58</v>
          </cell>
          <cell r="E182">
            <v>184</v>
          </cell>
        </row>
        <row r="183">
          <cell r="B183" t="str">
            <v>Pat Bryant</v>
          </cell>
          <cell r="C183" t="str">
            <v>WR</v>
          </cell>
          <cell r="D183" t="str">
            <v>WR72</v>
          </cell>
          <cell r="E183">
            <v>186</v>
          </cell>
        </row>
        <row r="184">
          <cell r="B184" t="str">
            <v>Daniel Jones</v>
          </cell>
          <cell r="C184" t="str">
            <v>QB</v>
          </cell>
          <cell r="D184" t="str">
            <v>QB29</v>
          </cell>
          <cell r="E184">
            <v>189</v>
          </cell>
        </row>
        <row r="185">
          <cell r="B185" t="str">
            <v>Keaton Mitchell</v>
          </cell>
          <cell r="C185" t="str">
            <v>RB</v>
          </cell>
          <cell r="D185" t="str">
            <v>RB59</v>
          </cell>
          <cell r="E185">
            <v>190</v>
          </cell>
        </row>
        <row r="186">
          <cell r="B186" t="str">
            <v>Mike Gesicki</v>
          </cell>
          <cell r="C186" t="str">
            <v>TE</v>
          </cell>
          <cell r="D186" t="str">
            <v>TE25</v>
          </cell>
          <cell r="E186">
            <v>192</v>
          </cell>
        </row>
        <row r="187">
          <cell r="B187" t="str">
            <v>Justice Hill</v>
          </cell>
          <cell r="C187" t="str">
            <v>RB</v>
          </cell>
          <cell r="D187" t="str">
            <v>RB60</v>
          </cell>
          <cell r="E187">
            <v>195</v>
          </cell>
        </row>
        <row r="188">
          <cell r="B188" t="str">
            <v>Alec Pierce</v>
          </cell>
          <cell r="C188" t="str">
            <v>WR</v>
          </cell>
          <cell r="D188" t="str">
            <v>WR73</v>
          </cell>
          <cell r="E188">
            <v>185</v>
          </cell>
        </row>
        <row r="189">
          <cell r="B189" t="str">
            <v>Kareem Hunt</v>
          </cell>
          <cell r="C189" t="str">
            <v>RB</v>
          </cell>
          <cell r="D189" t="str">
            <v>RB61</v>
          </cell>
          <cell r="E189">
            <v>183</v>
          </cell>
        </row>
        <row r="190">
          <cell r="B190" t="str">
            <v>Tory Horton</v>
          </cell>
          <cell r="C190" t="str">
            <v>WR</v>
          </cell>
          <cell r="D190" t="str">
            <v>WR74</v>
          </cell>
          <cell r="E190">
            <v>193</v>
          </cell>
        </row>
        <row r="191">
          <cell r="B191" t="str">
            <v>Elic Ayomanor</v>
          </cell>
          <cell r="C191" t="str">
            <v>WR</v>
          </cell>
          <cell r="D191" t="str">
            <v>WR75</v>
          </cell>
          <cell r="E191">
            <v>188</v>
          </cell>
        </row>
        <row r="192">
          <cell r="B192" t="str">
            <v>Quentin Johnston</v>
          </cell>
          <cell r="C192" t="str">
            <v>WR</v>
          </cell>
          <cell r="D192" t="str">
            <v>WR76</v>
          </cell>
          <cell r="E192">
            <v>187</v>
          </cell>
        </row>
        <row r="193">
          <cell r="B193" t="str">
            <v>DeAndre Hopkins</v>
          </cell>
          <cell r="C193" t="str">
            <v>WR</v>
          </cell>
          <cell r="D193" t="str">
            <v>WR77</v>
          </cell>
          <cell r="E193">
            <v>194</v>
          </cell>
        </row>
        <row r="194">
          <cell r="B194" t="str">
            <v>Jalen Coker</v>
          </cell>
          <cell r="C194" t="str">
            <v>WR</v>
          </cell>
          <cell r="D194" t="str">
            <v>WR78</v>
          </cell>
          <cell r="E194">
            <v>203</v>
          </cell>
        </row>
        <row r="195">
          <cell r="B195" t="str">
            <v>DJ Giddens</v>
          </cell>
          <cell r="C195" t="str">
            <v>RB</v>
          </cell>
          <cell r="D195" t="str">
            <v>RB62</v>
          </cell>
          <cell r="E195">
            <v>197</v>
          </cell>
        </row>
        <row r="196">
          <cell r="B196" t="str">
            <v>Isaac Guerendo</v>
          </cell>
          <cell r="C196" t="str">
            <v>RB</v>
          </cell>
          <cell r="D196" t="str">
            <v>RB63</v>
          </cell>
          <cell r="E196">
            <v>205</v>
          </cell>
        </row>
        <row r="197">
          <cell r="B197" t="str">
            <v>Kyle Monangai</v>
          </cell>
          <cell r="C197" t="str">
            <v>RB</v>
          </cell>
          <cell r="D197" t="str">
            <v>RB64</v>
          </cell>
          <cell r="E197">
            <v>220</v>
          </cell>
        </row>
        <row r="198">
          <cell r="B198" t="str">
            <v>Jaxson Dart</v>
          </cell>
          <cell r="C198" t="str">
            <v>QB</v>
          </cell>
          <cell r="D198" t="str">
            <v>QB30</v>
          </cell>
          <cell r="E198">
            <v>191</v>
          </cell>
        </row>
        <row r="199">
          <cell r="B199" t="str">
            <v>Troy Franklin</v>
          </cell>
          <cell r="C199" t="str">
            <v>WR</v>
          </cell>
          <cell r="D199" t="str">
            <v>WR79</v>
          </cell>
          <cell r="E199">
            <v>198</v>
          </cell>
        </row>
        <row r="200">
          <cell r="B200" t="str">
            <v>Ja'Tavion Sanders</v>
          </cell>
          <cell r="C200" t="str">
            <v>TE</v>
          </cell>
          <cell r="D200" t="str">
            <v>TE26</v>
          </cell>
          <cell r="E200">
            <v>200</v>
          </cell>
        </row>
        <row r="201">
          <cell r="B201" t="str">
            <v>Darius Slayton</v>
          </cell>
          <cell r="C201" t="str">
            <v>WR</v>
          </cell>
          <cell r="D201" t="str">
            <v>WR80</v>
          </cell>
          <cell r="E201">
            <v>204</v>
          </cell>
        </row>
        <row r="202">
          <cell r="B202" t="str">
            <v>Tahj Brooks</v>
          </cell>
          <cell r="C202" t="str">
            <v>RB</v>
          </cell>
          <cell r="D202" t="str">
            <v>RB65</v>
          </cell>
          <cell r="E202">
            <v>202</v>
          </cell>
        </row>
        <row r="203">
          <cell r="B203" t="str">
            <v>Blake Corum</v>
          </cell>
          <cell r="C203" t="str">
            <v>RB</v>
          </cell>
          <cell r="D203" t="str">
            <v>RB66</v>
          </cell>
          <cell r="E203">
            <v>207</v>
          </cell>
        </row>
        <row r="204">
          <cell r="B204" t="str">
            <v>Russell Wilson</v>
          </cell>
          <cell r="C204" t="str">
            <v>QB</v>
          </cell>
          <cell r="D204" t="str">
            <v>QB31</v>
          </cell>
          <cell r="E204">
            <v>208</v>
          </cell>
        </row>
        <row r="205">
          <cell r="B205" t="str">
            <v>Theo Johnson</v>
          </cell>
          <cell r="C205" t="str">
            <v>TE</v>
          </cell>
          <cell r="D205" t="str">
            <v>TE27</v>
          </cell>
          <cell r="E205">
            <v>212</v>
          </cell>
        </row>
        <row r="206">
          <cell r="B206" t="str">
            <v>Michael Wilson</v>
          </cell>
          <cell r="C206" t="str">
            <v>WR</v>
          </cell>
          <cell r="D206" t="str">
            <v>WR81</v>
          </cell>
          <cell r="E206">
            <v>206</v>
          </cell>
        </row>
        <row r="207">
          <cell r="B207" t="str">
            <v>Elijah Arroyo</v>
          </cell>
          <cell r="C207" t="str">
            <v>TE</v>
          </cell>
          <cell r="D207" t="str">
            <v>TE28</v>
          </cell>
          <cell r="E207">
            <v>214</v>
          </cell>
        </row>
        <row r="208">
          <cell r="B208" t="str">
            <v>Harold Fannin Jr.</v>
          </cell>
          <cell r="C208" t="str">
            <v>TE</v>
          </cell>
          <cell r="D208" t="str">
            <v>TE29</v>
          </cell>
          <cell r="E208">
            <v>209</v>
          </cell>
        </row>
        <row r="209">
          <cell r="B209" t="str">
            <v>Anthony Richardson Sr.</v>
          </cell>
          <cell r="C209" t="str">
            <v>QB</v>
          </cell>
          <cell r="D209" t="str">
            <v>QB32</v>
          </cell>
          <cell r="E209">
            <v>215</v>
          </cell>
        </row>
        <row r="210">
          <cell r="B210" t="str">
            <v>Pat Freiermuth</v>
          </cell>
          <cell r="C210" t="str">
            <v>TE</v>
          </cell>
          <cell r="D210" t="str">
            <v>TE30</v>
          </cell>
          <cell r="E210">
            <v>210</v>
          </cell>
        </row>
        <row r="211">
          <cell r="B211" t="str">
            <v>Joe Flacco</v>
          </cell>
          <cell r="C211" t="str">
            <v>QB</v>
          </cell>
          <cell r="D211" t="str">
            <v>QB33</v>
          </cell>
          <cell r="E211">
            <v>211</v>
          </cell>
        </row>
        <row r="212">
          <cell r="B212" t="str">
            <v>Roschon Johnson</v>
          </cell>
          <cell r="C212" t="str">
            <v>RB</v>
          </cell>
          <cell r="D212" t="str">
            <v>RB67</v>
          </cell>
          <cell r="E212">
            <v>223</v>
          </cell>
        </row>
        <row r="213">
          <cell r="B213" t="str">
            <v>Dameon Pierce</v>
          </cell>
          <cell r="C213" t="str">
            <v>RB</v>
          </cell>
          <cell r="D213" t="str">
            <v>RB68</v>
          </cell>
          <cell r="E213">
            <v>222</v>
          </cell>
        </row>
        <row r="214">
          <cell r="B214" t="str">
            <v>Andrei Iosivas</v>
          </cell>
          <cell r="C214" t="str">
            <v>WR</v>
          </cell>
          <cell r="D214" t="str">
            <v>WR82</v>
          </cell>
          <cell r="E214">
            <v>201</v>
          </cell>
        </row>
        <row r="215">
          <cell r="B215" t="str">
            <v>Jaylen Wright</v>
          </cell>
          <cell r="C215" t="str">
            <v>RB</v>
          </cell>
          <cell r="D215" t="str">
            <v>RB69</v>
          </cell>
          <cell r="E215">
            <v>224</v>
          </cell>
        </row>
        <row r="216">
          <cell r="B216" t="str">
            <v>Kendre Miller</v>
          </cell>
          <cell r="C216" t="str">
            <v>RB</v>
          </cell>
          <cell r="D216" t="str">
            <v>RB70</v>
          </cell>
          <cell r="E216">
            <v>218</v>
          </cell>
        </row>
        <row r="217">
          <cell r="B217" t="str">
            <v>Juwan Johnson</v>
          </cell>
          <cell r="C217" t="str">
            <v>TE</v>
          </cell>
          <cell r="D217" t="str">
            <v>TE31</v>
          </cell>
          <cell r="E217">
            <v>226</v>
          </cell>
        </row>
        <row r="218">
          <cell r="B218" t="str">
            <v>Dalton Schultz</v>
          </cell>
          <cell r="C218" t="str">
            <v>TE</v>
          </cell>
          <cell r="D218" t="str">
            <v>TE32</v>
          </cell>
          <cell r="E218">
            <v>219</v>
          </cell>
        </row>
        <row r="219">
          <cell r="B219" t="str">
            <v>Jack Bech</v>
          </cell>
          <cell r="C219" t="str">
            <v>WR</v>
          </cell>
          <cell r="D219" t="str">
            <v>WR83</v>
          </cell>
          <cell r="E219">
            <v>216</v>
          </cell>
        </row>
        <row r="220">
          <cell r="B220" t="str">
            <v>Roman Wilson</v>
          </cell>
          <cell r="C220" t="str">
            <v>WR</v>
          </cell>
          <cell r="D220" t="str">
            <v>WR84</v>
          </cell>
          <cell r="E220">
            <v>243</v>
          </cell>
        </row>
        <row r="221">
          <cell r="B221" t="str">
            <v>Darren Waller</v>
          </cell>
          <cell r="C221" t="str">
            <v>TE</v>
          </cell>
          <cell r="D221" t="str">
            <v>TE33</v>
          </cell>
          <cell r="E221">
            <v>199</v>
          </cell>
        </row>
        <row r="222">
          <cell r="B222" t="str">
            <v>Dyami Brown</v>
          </cell>
          <cell r="C222" t="str">
            <v>WR</v>
          </cell>
          <cell r="D222" t="str">
            <v>WR85</v>
          </cell>
          <cell r="E222">
            <v>227</v>
          </cell>
        </row>
        <row r="223">
          <cell r="B223" t="str">
            <v>Brashard Smith</v>
          </cell>
          <cell r="C223" t="str">
            <v>RB</v>
          </cell>
          <cell r="D223" t="str">
            <v>RB71</v>
          </cell>
          <cell r="E223">
            <v>231</v>
          </cell>
        </row>
        <row r="224">
          <cell r="B224" t="str">
            <v>Jaylin Noel</v>
          </cell>
          <cell r="C224" t="str">
            <v>WR</v>
          </cell>
          <cell r="D224" t="str">
            <v>WR86</v>
          </cell>
          <cell r="E224">
            <v>228</v>
          </cell>
        </row>
        <row r="225">
          <cell r="B225" t="str">
            <v>Sean Tucker</v>
          </cell>
          <cell r="C225" t="str">
            <v>RB</v>
          </cell>
          <cell r="D225" t="str">
            <v>RB72</v>
          </cell>
          <cell r="E225">
            <v>229</v>
          </cell>
        </row>
        <row r="226">
          <cell r="B226" t="str">
            <v>Ray-Ray McCloud III</v>
          </cell>
          <cell r="C226" t="str">
            <v>WR</v>
          </cell>
          <cell r="D226" t="str">
            <v>WR87</v>
          </cell>
          <cell r="E226">
            <v>217</v>
          </cell>
        </row>
        <row r="227">
          <cell r="B227" t="str">
            <v>Calvin Austin III</v>
          </cell>
          <cell r="C227" t="str">
            <v>WR</v>
          </cell>
          <cell r="D227" t="str">
            <v>WR88</v>
          </cell>
          <cell r="E227">
            <v>225</v>
          </cell>
        </row>
        <row r="228">
          <cell r="B228" t="str">
            <v>Raheem Mostert</v>
          </cell>
          <cell r="C228" t="str">
            <v>RB</v>
          </cell>
          <cell r="D228" t="str">
            <v>RB73</v>
          </cell>
          <cell r="E228">
            <v>234</v>
          </cell>
        </row>
        <row r="229">
          <cell r="B229" t="str">
            <v>miles sanders</v>
          </cell>
          <cell r="C229" t="str">
            <v>RB</v>
          </cell>
          <cell r="D229" t="str">
            <v>RB74</v>
          </cell>
          <cell r="E229">
            <v>267</v>
          </cell>
        </row>
        <row r="230">
          <cell r="B230" t="str">
            <v>Tyler Higbee</v>
          </cell>
          <cell r="C230" t="str">
            <v>TE</v>
          </cell>
          <cell r="D230" t="str">
            <v>TE34</v>
          </cell>
          <cell r="E230">
            <v>232</v>
          </cell>
        </row>
        <row r="231">
          <cell r="B231" t="str">
            <v>Jarquez Hunter</v>
          </cell>
          <cell r="C231" t="str">
            <v>RB</v>
          </cell>
          <cell r="D231" t="str">
            <v>RB75</v>
          </cell>
          <cell r="E231">
            <v>343</v>
          </cell>
        </row>
        <row r="232">
          <cell r="B232" t="str">
            <v>Efton Chism III</v>
          </cell>
          <cell r="C232" t="str">
            <v>WR</v>
          </cell>
          <cell r="D232" t="str">
            <v>WR89</v>
          </cell>
          <cell r="E232">
            <v>256</v>
          </cell>
        </row>
        <row r="233">
          <cell r="B233" t="str">
            <v>Kayshon Boutte</v>
          </cell>
          <cell r="C233" t="str">
            <v>WR</v>
          </cell>
          <cell r="D233" t="str">
            <v>WR90</v>
          </cell>
          <cell r="E233">
            <v>315</v>
          </cell>
        </row>
        <row r="234">
          <cell r="B234" t="str">
            <v>Malik Washington</v>
          </cell>
          <cell r="C234" t="str">
            <v>WR</v>
          </cell>
          <cell r="D234" t="str">
            <v>WR91</v>
          </cell>
          <cell r="E234">
            <v>221</v>
          </cell>
        </row>
        <row r="235">
          <cell r="B235" t="str">
            <v>Jalen McMillan</v>
          </cell>
          <cell r="C235" t="str">
            <v>WR</v>
          </cell>
          <cell r="D235" t="str">
            <v>WR92</v>
          </cell>
          <cell r="E235">
            <v>213</v>
          </cell>
        </row>
        <row r="236">
          <cell r="B236" t="str">
            <v>Tyler Lockett</v>
          </cell>
          <cell r="C236" t="str">
            <v>WR</v>
          </cell>
          <cell r="D236" t="str">
            <v>WR93</v>
          </cell>
          <cell r="E236">
            <v>196</v>
          </cell>
        </row>
        <row r="237">
          <cell r="B237" t="str">
            <v>Emanuel Wilson</v>
          </cell>
          <cell r="C237" t="str">
            <v>RB</v>
          </cell>
          <cell r="D237" t="str">
            <v>RB76</v>
          </cell>
          <cell r="E237">
            <v>354</v>
          </cell>
        </row>
        <row r="238">
          <cell r="B238" t="str">
            <v>Elijah Mitchell</v>
          </cell>
          <cell r="C238" t="str">
            <v>RB</v>
          </cell>
          <cell r="D238" t="str">
            <v>RB77</v>
          </cell>
          <cell r="E238">
            <v>309</v>
          </cell>
        </row>
        <row r="239">
          <cell r="B239" t="str">
            <v>Noah Gray</v>
          </cell>
          <cell r="C239" t="str">
            <v>TE</v>
          </cell>
          <cell r="D239" t="str">
            <v>TE35</v>
          </cell>
          <cell r="E239">
            <v>392</v>
          </cell>
        </row>
        <row r="240">
          <cell r="B240" t="str">
            <v>Spencer Rattler</v>
          </cell>
          <cell r="C240" t="str">
            <v>QB</v>
          </cell>
          <cell r="D240" t="str">
            <v>QB34</v>
          </cell>
          <cell r="E240">
            <v>230</v>
          </cell>
        </row>
        <row r="241">
          <cell r="B241" t="str">
            <v>Adonai Mitchell</v>
          </cell>
          <cell r="C241" t="str">
            <v>WR</v>
          </cell>
          <cell r="D241" t="str">
            <v>WR94</v>
          </cell>
          <cell r="E241">
            <v>324</v>
          </cell>
        </row>
        <row r="242">
          <cell r="B242" t="str">
            <v>Tyler Shough</v>
          </cell>
          <cell r="C242" t="str">
            <v>QB</v>
          </cell>
          <cell r="D242" t="str">
            <v>QB35</v>
          </cell>
          <cell r="E242">
            <v>268</v>
          </cell>
        </row>
        <row r="243">
          <cell r="B243" t="str">
            <v>Jalen Nailor</v>
          </cell>
          <cell r="C243" t="str">
            <v>WR</v>
          </cell>
          <cell r="D243" t="str">
            <v>WR95</v>
          </cell>
          <cell r="E243">
            <v>233</v>
          </cell>
        </row>
        <row r="244">
          <cell r="B244" t="str">
            <v>Dontayvion Wicks</v>
          </cell>
          <cell r="C244" t="str">
            <v>WR</v>
          </cell>
          <cell r="D244" t="str">
            <v>WR96</v>
          </cell>
          <cell r="E244">
            <v>334</v>
          </cell>
        </row>
        <row r="245">
          <cell r="B245" t="str">
            <v>Olamide Zaccheaus</v>
          </cell>
          <cell r="C245" t="str">
            <v>WR</v>
          </cell>
          <cell r="D245" t="str">
            <v>WR97</v>
          </cell>
          <cell r="E245">
            <v>264</v>
          </cell>
        </row>
        <row r="246">
          <cell r="B246" t="str">
            <v>Jalen Tolbert</v>
          </cell>
          <cell r="C246" t="str">
            <v>WR</v>
          </cell>
          <cell r="D246" t="str">
            <v>WR98</v>
          </cell>
          <cell r="E246">
            <v>260</v>
          </cell>
        </row>
        <row r="247">
          <cell r="B247" t="str">
            <v>Tyler Conklin</v>
          </cell>
          <cell r="C247" t="str">
            <v>TE</v>
          </cell>
          <cell r="D247" t="str">
            <v>TE36</v>
          </cell>
          <cell r="E247">
            <v>398</v>
          </cell>
        </row>
        <row r="248">
          <cell r="B248" t="str">
            <v>Jaylin Lane</v>
          </cell>
          <cell r="C248" t="str">
            <v>WR</v>
          </cell>
          <cell r="D248" t="str">
            <v>WR99</v>
          </cell>
          <cell r="E248">
            <v>311</v>
          </cell>
        </row>
        <row r="249">
          <cell r="B249" t="str">
            <v>Kenny Gainwell</v>
          </cell>
          <cell r="C249" t="str">
            <v>RB</v>
          </cell>
          <cell r="D249" t="str">
            <v>RB78</v>
          </cell>
          <cell r="E249">
            <v>318</v>
          </cell>
        </row>
        <row r="250">
          <cell r="B250" t="str">
            <v>Jalen Royals</v>
          </cell>
          <cell r="C250" t="str">
            <v>WR</v>
          </cell>
          <cell r="D250" t="str">
            <v>WR100</v>
          </cell>
          <cell r="E250">
            <v>335</v>
          </cell>
        </row>
        <row r="251">
          <cell r="B251" t="str">
            <v>KeAndre Lambert-Smith</v>
          </cell>
          <cell r="C251" t="str">
            <v>WR</v>
          </cell>
          <cell r="D251" t="str">
            <v>WR101</v>
          </cell>
          <cell r="E251">
            <v>322</v>
          </cell>
        </row>
        <row r="252">
          <cell r="B252" t="str">
            <v>Tre Tucker</v>
          </cell>
          <cell r="C252" t="str">
            <v>WR</v>
          </cell>
          <cell r="D252" t="str">
            <v>WR102</v>
          </cell>
          <cell r="E252">
            <v>342</v>
          </cell>
        </row>
        <row r="253">
          <cell r="B253" t="str">
            <v>Jaleel McLaughlin</v>
          </cell>
          <cell r="C253" t="str">
            <v>RB</v>
          </cell>
          <cell r="D253" t="str">
            <v>RB79</v>
          </cell>
          <cell r="E253">
            <v>239</v>
          </cell>
        </row>
        <row r="254">
          <cell r="B254" t="str">
            <v>Shedeur Sanders</v>
          </cell>
          <cell r="C254" t="str">
            <v>QB</v>
          </cell>
          <cell r="D254" t="str">
            <v>QB36</v>
          </cell>
          <cell r="E254">
            <v>338</v>
          </cell>
        </row>
        <row r="255">
          <cell r="B255" t="str">
            <v>Isaiah Bond</v>
          </cell>
          <cell r="C255" t="str">
            <v>WR</v>
          </cell>
          <cell r="D255" t="str">
            <v>WR103</v>
          </cell>
          <cell r="E255">
            <v>310</v>
          </cell>
        </row>
        <row r="256">
          <cell r="B256" t="str">
            <v>Tutu Atwell</v>
          </cell>
          <cell r="C256" t="str">
            <v>WR</v>
          </cell>
          <cell r="D256" t="str">
            <v>WR104</v>
          </cell>
          <cell r="E256">
            <v>347</v>
          </cell>
        </row>
        <row r="257">
          <cell r="B257" t="str">
            <v>Jalen Milroe</v>
          </cell>
          <cell r="C257" t="str">
            <v>QB</v>
          </cell>
          <cell r="D257" t="str">
            <v>QB37</v>
          </cell>
          <cell r="E257">
            <v>367</v>
          </cell>
        </row>
        <row r="258">
          <cell r="B258" t="str">
            <v>Cole Kmet</v>
          </cell>
          <cell r="C258" t="str">
            <v>TE</v>
          </cell>
          <cell r="D258" t="str">
            <v>TE37</v>
          </cell>
          <cell r="E258">
            <v>365</v>
          </cell>
        </row>
        <row r="259">
          <cell r="B259" t="str">
            <v>Hunter Renfrow</v>
          </cell>
          <cell r="C259" t="str">
            <v>WR</v>
          </cell>
          <cell r="D259" t="str">
            <v>WR105</v>
          </cell>
          <cell r="E259">
            <v>319</v>
          </cell>
        </row>
        <row r="260">
          <cell r="B260" t="str">
            <v>Noah Brown</v>
          </cell>
          <cell r="C260" t="str">
            <v>WR</v>
          </cell>
          <cell r="D260" t="str">
            <v>WR106</v>
          </cell>
          <cell r="E260">
            <v>280</v>
          </cell>
        </row>
        <row r="261">
          <cell r="B261" t="str">
            <v>KaVontae Turpin</v>
          </cell>
          <cell r="C261" t="str">
            <v>WR</v>
          </cell>
          <cell r="D261" t="str">
            <v>WR107</v>
          </cell>
          <cell r="E261">
            <v>306</v>
          </cell>
        </row>
        <row r="262">
          <cell r="B262" t="str">
            <v>Josh Reynolds</v>
          </cell>
          <cell r="C262" t="str">
            <v>WR</v>
          </cell>
          <cell r="D262" t="str">
            <v>WR108</v>
          </cell>
          <cell r="E262">
            <v>378</v>
          </cell>
        </row>
        <row r="263">
          <cell r="B263" t="str">
            <v>Devin Neal</v>
          </cell>
          <cell r="C263" t="str">
            <v>RB</v>
          </cell>
          <cell r="D263" t="str">
            <v>RB80</v>
          </cell>
          <cell r="E263">
            <v>351</v>
          </cell>
        </row>
        <row r="264">
          <cell r="B264" t="str">
            <v>John Metchie III</v>
          </cell>
          <cell r="C264" t="str">
            <v>WR</v>
          </cell>
          <cell r="D264" t="str">
            <v>WR109</v>
          </cell>
          <cell r="E264">
            <v>302</v>
          </cell>
        </row>
        <row r="265">
          <cell r="B265" t="str">
            <v>Nick Westbrook-Ikhine</v>
          </cell>
          <cell r="C265" t="str">
            <v>WR</v>
          </cell>
          <cell r="D265" t="str">
            <v>WR110</v>
          </cell>
          <cell r="E265">
            <v>344</v>
          </cell>
        </row>
        <row r="266">
          <cell r="B266" t="str">
            <v>Trevor Etienne</v>
          </cell>
          <cell r="C266" t="str">
            <v>RB</v>
          </cell>
          <cell r="D266" t="str">
            <v>RB81</v>
          </cell>
          <cell r="E266">
            <v>399</v>
          </cell>
        </row>
        <row r="267">
          <cell r="B267" t="str">
            <v>Elijah Moore</v>
          </cell>
          <cell r="C267" t="str">
            <v>WR</v>
          </cell>
          <cell r="D267" t="str">
            <v>WR111</v>
          </cell>
          <cell r="E267">
            <v>327</v>
          </cell>
        </row>
        <row r="268">
          <cell r="B268" t="str">
            <v>Marquez Valdes-Scantling</v>
          </cell>
          <cell r="C268" t="str">
            <v>WR</v>
          </cell>
          <cell r="D268" t="str">
            <v>WR112</v>
          </cell>
          <cell r="E268">
            <v>244</v>
          </cell>
        </row>
        <row r="269">
          <cell r="B269" t="str">
            <v>Ty Johnson</v>
          </cell>
          <cell r="C269" t="str">
            <v>RB</v>
          </cell>
          <cell r="D269" t="str">
            <v>RB82</v>
          </cell>
          <cell r="E269">
            <v>382</v>
          </cell>
        </row>
        <row r="270">
          <cell r="B270" t="str">
            <v>Terrance Ferguson</v>
          </cell>
          <cell r="C270" t="str">
            <v>TE</v>
          </cell>
          <cell r="D270" t="str">
            <v>TE38</v>
          </cell>
          <cell r="E270">
            <v>393</v>
          </cell>
        </row>
        <row r="271">
          <cell r="B271" t="str">
            <v>Kirk Cousins</v>
          </cell>
          <cell r="C271" t="str">
            <v>QB</v>
          </cell>
          <cell r="D271" t="str">
            <v>QB38</v>
          </cell>
          <cell r="E271">
            <v>379</v>
          </cell>
        </row>
        <row r="272">
          <cell r="B272" t="str">
            <v>Devaughn Vele</v>
          </cell>
          <cell r="C272" t="str">
            <v>WR</v>
          </cell>
          <cell r="D272" t="str">
            <v>WR113</v>
          </cell>
          <cell r="E272">
            <v>360</v>
          </cell>
        </row>
        <row r="273">
          <cell r="B273" t="str">
            <v>Demarcus Robinson</v>
          </cell>
          <cell r="C273" t="str">
            <v>WR</v>
          </cell>
          <cell r="D273" t="str">
            <v>WR114</v>
          </cell>
          <cell r="E273">
            <v>404</v>
          </cell>
        </row>
        <row r="274">
          <cell r="B274" t="str">
            <v>Samaje Perine</v>
          </cell>
          <cell r="C274" t="str">
            <v>RB</v>
          </cell>
          <cell r="D274" t="str">
            <v>RB83</v>
          </cell>
          <cell r="E274">
            <v>402</v>
          </cell>
        </row>
        <row r="275">
          <cell r="B275" t="str">
            <v>Devin Singletary</v>
          </cell>
          <cell r="C275" t="str">
            <v>RB</v>
          </cell>
          <cell r="D275" t="str">
            <v>RB84</v>
          </cell>
          <cell r="E275">
            <v>272</v>
          </cell>
        </row>
        <row r="276">
          <cell r="B276" t="str">
            <v>MarShawn Lloyd</v>
          </cell>
          <cell r="C276" t="str">
            <v>RB</v>
          </cell>
          <cell r="D276" t="str">
            <v>RB85</v>
          </cell>
          <cell r="E276">
            <v>426</v>
          </cell>
        </row>
        <row r="277">
          <cell r="B277" t="str">
            <v>Christian Watson</v>
          </cell>
          <cell r="C277" t="str">
            <v>WR</v>
          </cell>
          <cell r="D277" t="str">
            <v>WR115</v>
          </cell>
          <cell r="E277">
            <v>420</v>
          </cell>
        </row>
        <row r="278">
          <cell r="B278" t="str">
            <v>Oronde Gadsden II</v>
          </cell>
          <cell r="C278" t="str">
            <v>TE</v>
          </cell>
          <cell r="D278" t="str">
            <v>TE39</v>
          </cell>
          <cell r="E278">
            <v>408</v>
          </cell>
        </row>
        <row r="279">
          <cell r="B279" t="str">
            <v>AJ Barner</v>
          </cell>
          <cell r="C279" t="str">
            <v>TE</v>
          </cell>
          <cell r="D279" t="str">
            <v>TE40</v>
          </cell>
          <cell r="E279">
            <v>412</v>
          </cell>
        </row>
        <row r="280">
          <cell r="B280" t="str">
            <v>Taysom Hill</v>
          </cell>
          <cell r="C280" t="str">
            <v>TE</v>
          </cell>
          <cell r="D280" t="str">
            <v>TE41</v>
          </cell>
          <cell r="E280">
            <v>417</v>
          </cell>
        </row>
        <row r="281">
          <cell r="B281" t="str">
            <v>Michael Mayer</v>
          </cell>
          <cell r="C281" t="str">
            <v>TE</v>
          </cell>
          <cell r="D281" t="str">
            <v>TE42</v>
          </cell>
          <cell r="E281">
            <v>410</v>
          </cell>
        </row>
        <row r="282">
          <cell r="B282" t="str">
            <v>JuJu Smith-Schuster</v>
          </cell>
          <cell r="C282" t="str">
            <v>WR</v>
          </cell>
          <cell r="D282" t="str">
            <v>WR116</v>
          </cell>
          <cell r="E282">
            <v>235</v>
          </cell>
        </row>
        <row r="283">
          <cell r="B283" t="str">
            <v>Zay Jones</v>
          </cell>
          <cell r="C283" t="str">
            <v>WR</v>
          </cell>
          <cell r="D283" t="str">
            <v>WR117</v>
          </cell>
          <cell r="E283">
            <v>377</v>
          </cell>
        </row>
        <row r="284">
          <cell r="B284" t="str">
            <v>Tyquan Thornton</v>
          </cell>
          <cell r="C284" t="str">
            <v>WR</v>
          </cell>
          <cell r="D284" t="str">
            <v>WR118</v>
          </cell>
          <cell r="E284">
            <v>325</v>
          </cell>
        </row>
        <row r="285">
          <cell r="B285" t="str">
            <v>Ben Sinnott</v>
          </cell>
          <cell r="C285" t="str">
            <v>TE</v>
          </cell>
          <cell r="D285" t="str">
            <v>TE43</v>
          </cell>
          <cell r="E285">
            <v>429</v>
          </cell>
        </row>
        <row r="286">
          <cell r="B286" t="str">
            <v>Chris Brooks</v>
          </cell>
          <cell r="C286" t="str">
            <v>RB</v>
          </cell>
          <cell r="D286" t="str">
            <v>RB86</v>
          </cell>
          <cell r="E286">
            <v>376</v>
          </cell>
        </row>
        <row r="287">
          <cell r="B287" t="str">
            <v>AJ Dillon</v>
          </cell>
          <cell r="C287" t="str">
            <v>RB</v>
          </cell>
          <cell r="D287" t="str">
            <v>RB87</v>
          </cell>
          <cell r="E287">
            <v>238</v>
          </cell>
        </row>
        <row r="288">
          <cell r="B288" t="str">
            <v>Tank Dell</v>
          </cell>
          <cell r="C288" t="str">
            <v>WR</v>
          </cell>
          <cell r="D288" t="str">
            <v>WR119</v>
          </cell>
          <cell r="E288">
            <v>253</v>
          </cell>
        </row>
        <row r="289">
          <cell r="B289" t="str">
            <v>Antonio Gibson</v>
          </cell>
          <cell r="C289" t="str">
            <v>RB</v>
          </cell>
          <cell r="D289" t="str">
            <v>RB88</v>
          </cell>
          <cell r="E289">
            <v>290</v>
          </cell>
        </row>
        <row r="290">
          <cell r="B290" t="str">
            <v>Jahan Dotson</v>
          </cell>
          <cell r="C290" t="str">
            <v>WR</v>
          </cell>
          <cell r="D290" t="str">
            <v>WR120</v>
          </cell>
          <cell r="E290">
            <v>266</v>
          </cell>
        </row>
        <row r="291">
          <cell r="B291" t="str">
            <v>Brandin Cooks</v>
          </cell>
          <cell r="C291" t="str">
            <v>WR</v>
          </cell>
          <cell r="D291" t="str">
            <v>WR121</v>
          </cell>
          <cell r="E291">
            <v>288</v>
          </cell>
        </row>
        <row r="292">
          <cell r="B292" t="str">
            <v>Mitch Tinsley</v>
          </cell>
          <cell r="C292" t="str">
            <v>WR</v>
          </cell>
          <cell r="D292" t="str">
            <v>WR122</v>
          </cell>
          <cell r="E292">
            <v>294</v>
          </cell>
        </row>
        <row r="293">
          <cell r="B293" t="str">
            <v>Noah Fant</v>
          </cell>
          <cell r="C293" t="str">
            <v>TE</v>
          </cell>
          <cell r="D293" t="str">
            <v>TE44</v>
          </cell>
          <cell r="E293">
            <v>387</v>
          </cell>
        </row>
        <row r="294">
          <cell r="B294" t="str">
            <v>Jalin Hyatt</v>
          </cell>
          <cell r="C294" t="str">
            <v>WR</v>
          </cell>
          <cell r="D294" t="str">
            <v>WR123</v>
          </cell>
          <cell r="E294">
            <v>300</v>
          </cell>
        </row>
        <row r="295">
          <cell r="B295" t="str">
            <v>Julius Chestnut</v>
          </cell>
          <cell r="C295" t="str">
            <v>RB</v>
          </cell>
          <cell r="D295" t="str">
            <v>RB89</v>
          </cell>
          <cell r="E295">
            <v>255</v>
          </cell>
        </row>
        <row r="296">
          <cell r="B296" t="str">
            <v>Allen Lazard</v>
          </cell>
          <cell r="C296" t="str">
            <v>WR</v>
          </cell>
          <cell r="D296" t="str">
            <v>WR124</v>
          </cell>
          <cell r="E296">
            <v>301</v>
          </cell>
        </row>
        <row r="297">
          <cell r="B297" t="str">
            <v>Van Jefferson</v>
          </cell>
          <cell r="C297" t="str">
            <v>WR</v>
          </cell>
          <cell r="D297" t="str">
            <v>WR125</v>
          </cell>
          <cell r="E297">
            <v>297</v>
          </cell>
        </row>
        <row r="298">
          <cell r="B298" t="str">
            <v>Jordan Whittington</v>
          </cell>
          <cell r="C298" t="str">
            <v>WR</v>
          </cell>
          <cell r="D298" t="str">
            <v>WR126</v>
          </cell>
          <cell r="E298">
            <v>431</v>
          </cell>
        </row>
        <row r="299">
          <cell r="B299" t="str">
            <v>Parker Washington</v>
          </cell>
          <cell r="C299" t="str">
            <v>WR</v>
          </cell>
          <cell r="D299" t="str">
            <v>WR127</v>
          </cell>
          <cell r="E299">
            <v>422</v>
          </cell>
        </row>
        <row r="300">
          <cell r="B300" t="str">
            <v>Isaiah Davis</v>
          </cell>
          <cell r="C300" t="str">
            <v>RB</v>
          </cell>
          <cell r="D300" t="str">
            <v>RB90</v>
          </cell>
          <cell r="E300">
            <v>368</v>
          </cell>
        </row>
        <row r="301">
          <cell r="B301" t="str">
            <v>Dawson Knox</v>
          </cell>
          <cell r="C301" t="str">
            <v>TE</v>
          </cell>
          <cell r="D301" t="str">
            <v>TE45</v>
          </cell>
          <cell r="E301">
            <v>350</v>
          </cell>
        </row>
        <row r="302">
          <cell r="B302" t="str">
            <v>Jimmy Horn Jr.</v>
          </cell>
          <cell r="C302" t="str">
            <v>WR</v>
          </cell>
          <cell r="D302" t="str">
            <v>WR128</v>
          </cell>
          <cell r="E302">
            <v>247</v>
          </cell>
        </row>
        <row r="303">
          <cell r="B303" t="str">
            <v>Jimmy Garoppolo</v>
          </cell>
          <cell r="C303" t="str">
            <v>QB</v>
          </cell>
          <cell r="D303" t="str">
            <v>QB39</v>
          </cell>
          <cell r="E303">
            <v>374</v>
          </cell>
        </row>
        <row r="304">
          <cell r="B304" t="str">
            <v>Dillon Gabriel</v>
          </cell>
          <cell r="C304" t="str">
            <v>QB</v>
          </cell>
          <cell r="D304" t="str">
            <v>QB40</v>
          </cell>
          <cell r="E304">
            <v>397</v>
          </cell>
        </row>
        <row r="305">
          <cell r="B305" t="str">
            <v>Tez Johnson</v>
          </cell>
          <cell r="C305" t="str">
            <v>WR</v>
          </cell>
          <cell r="D305" t="str">
            <v>WR129</v>
          </cell>
          <cell r="E305">
            <v>257</v>
          </cell>
        </row>
        <row r="306">
          <cell r="B306" t="str">
            <v>Tyler Goodson</v>
          </cell>
          <cell r="C306" t="str">
            <v>RB</v>
          </cell>
          <cell r="D306" t="str">
            <v>RB91</v>
          </cell>
          <cell r="E306">
            <v>284</v>
          </cell>
        </row>
        <row r="307">
          <cell r="B307" t="str">
            <v>Craig Reynolds</v>
          </cell>
          <cell r="C307" t="str">
            <v>RB</v>
          </cell>
          <cell r="D307" t="str">
            <v>RB92</v>
          </cell>
          <cell r="E307">
            <v>246</v>
          </cell>
        </row>
        <row r="308">
          <cell r="B308" t="str">
            <v>Xavier Restrepo</v>
          </cell>
          <cell r="C308" t="str">
            <v>WR</v>
          </cell>
          <cell r="D308" t="str">
            <v>WR130</v>
          </cell>
          <cell r="E308">
            <v>291</v>
          </cell>
        </row>
        <row r="309">
          <cell r="B309" t="str">
            <v>Gunnar Helm</v>
          </cell>
          <cell r="C309" t="str">
            <v>TE</v>
          </cell>
          <cell r="D309" t="str">
            <v>TE46</v>
          </cell>
          <cell r="E309">
            <v>391</v>
          </cell>
        </row>
        <row r="310">
          <cell r="B310" t="str">
            <v>Luke Musgrave</v>
          </cell>
          <cell r="C310" t="str">
            <v>TE</v>
          </cell>
          <cell r="D310" t="str">
            <v>TE47</v>
          </cell>
          <cell r="E310">
            <v>396</v>
          </cell>
        </row>
        <row r="311">
          <cell r="B311" t="str">
            <v>Will Dissly</v>
          </cell>
          <cell r="C311" t="str">
            <v>TE</v>
          </cell>
          <cell r="D311" t="str">
            <v>TE48</v>
          </cell>
          <cell r="E311">
            <v>425</v>
          </cell>
        </row>
        <row r="312">
          <cell r="B312" t="str">
            <v>Kalif Raymond</v>
          </cell>
          <cell r="C312" t="str">
            <v>WR</v>
          </cell>
          <cell r="D312" t="str">
            <v>WR131</v>
          </cell>
          <cell r="E312">
            <v>254</v>
          </cell>
        </row>
        <row r="313">
          <cell r="B313" t="str">
            <v>Tyson Bagent</v>
          </cell>
          <cell r="C313" t="str">
            <v>QB</v>
          </cell>
          <cell r="D313" t="str">
            <v>QB41</v>
          </cell>
          <cell r="E313">
            <v>419</v>
          </cell>
        </row>
        <row r="314">
          <cell r="B314" t="str">
            <v>Arian Smith</v>
          </cell>
          <cell r="C314" t="str">
            <v>WR</v>
          </cell>
          <cell r="D314" t="str">
            <v>WR132</v>
          </cell>
          <cell r="E314">
            <v>403</v>
          </cell>
        </row>
        <row r="315">
          <cell r="B315" t="str">
            <v>Luke McCaffrey</v>
          </cell>
          <cell r="C315" t="str">
            <v>WR</v>
          </cell>
          <cell r="D315" t="str">
            <v>WR133</v>
          </cell>
          <cell r="E315">
            <v>258</v>
          </cell>
        </row>
        <row r="316">
          <cell r="B316" t="str">
            <v>Curtis Samuel</v>
          </cell>
          <cell r="C316" t="str">
            <v>WR</v>
          </cell>
          <cell r="D316" t="str">
            <v>WR134</v>
          </cell>
          <cell r="E316">
            <v>273</v>
          </cell>
        </row>
        <row r="317">
          <cell r="B317" t="str">
            <v>Jordan James</v>
          </cell>
          <cell r="C317" t="str">
            <v>RB</v>
          </cell>
          <cell r="D317" t="str">
            <v>RB93</v>
          </cell>
          <cell r="E317">
            <v>381</v>
          </cell>
        </row>
        <row r="318">
          <cell r="B318" t="str">
            <v>Skyy Moore</v>
          </cell>
          <cell r="C318" t="str">
            <v>WR</v>
          </cell>
          <cell r="D318" t="str">
            <v>WR135</v>
          </cell>
          <cell r="E318">
            <v>270</v>
          </cell>
        </row>
        <row r="319">
          <cell r="B319" t="str">
            <v>Mack Hollins</v>
          </cell>
          <cell r="C319" t="str">
            <v>WR</v>
          </cell>
          <cell r="D319" t="str">
            <v>WR136</v>
          </cell>
          <cell r="E319">
            <v>275</v>
          </cell>
        </row>
        <row r="320">
          <cell r="B320" t="str">
            <v>Malik Willis</v>
          </cell>
          <cell r="C320" t="str">
            <v>QB</v>
          </cell>
          <cell r="D320" t="str">
            <v>QB42</v>
          </cell>
          <cell r="E320">
            <v>330</v>
          </cell>
        </row>
        <row r="321">
          <cell r="B321" t="str">
            <v>Kalel Mullings</v>
          </cell>
          <cell r="C321" t="str">
            <v>RB</v>
          </cell>
          <cell r="D321" t="str">
            <v>RB94</v>
          </cell>
          <cell r="E321">
            <v>251</v>
          </cell>
        </row>
        <row r="322">
          <cell r="B322" t="str">
            <v>Raheim Sanders</v>
          </cell>
          <cell r="C322" t="str">
            <v>RB</v>
          </cell>
          <cell r="D322" t="str">
            <v>RB95</v>
          </cell>
          <cell r="E322">
            <v>262</v>
          </cell>
        </row>
        <row r="323">
          <cell r="B323" t="str">
            <v>Tim Patrick</v>
          </cell>
          <cell r="C323" t="str">
            <v>WR</v>
          </cell>
          <cell r="D323" t="str">
            <v>WR137</v>
          </cell>
          <cell r="E323">
            <v>281</v>
          </cell>
        </row>
        <row r="324">
          <cell r="B324" t="str">
            <v>George Holani</v>
          </cell>
          <cell r="C324" t="str">
            <v>RB</v>
          </cell>
          <cell r="D324" t="str">
            <v>RB96</v>
          </cell>
          <cell r="E324">
            <v>386</v>
          </cell>
        </row>
        <row r="325">
          <cell r="B325" t="str">
            <v>Ty Chandler</v>
          </cell>
          <cell r="C325" t="str">
            <v>RB</v>
          </cell>
          <cell r="D325" t="str">
            <v>RB97</v>
          </cell>
          <cell r="E325">
            <v>241</v>
          </cell>
        </row>
        <row r="326">
          <cell r="B326" t="str">
            <v>Sam Howell</v>
          </cell>
          <cell r="C326" t="str">
            <v>QB</v>
          </cell>
          <cell r="D326" t="str">
            <v>QB43</v>
          </cell>
          <cell r="E326">
            <v>307</v>
          </cell>
        </row>
        <row r="327">
          <cell r="B327" t="str">
            <v>Khalil Herbert</v>
          </cell>
          <cell r="C327" t="str">
            <v>RB</v>
          </cell>
          <cell r="D327" t="str">
            <v>RB98</v>
          </cell>
          <cell r="E327">
            <v>265</v>
          </cell>
        </row>
        <row r="328">
          <cell r="B328" t="str">
            <v>LaJohntay Wester</v>
          </cell>
          <cell r="C328" t="str">
            <v>WR</v>
          </cell>
          <cell r="D328" t="str">
            <v>WR138</v>
          </cell>
          <cell r="E328">
            <v>261</v>
          </cell>
        </row>
        <row r="329">
          <cell r="B329" t="str">
            <v>Diontae Johnson</v>
          </cell>
          <cell r="C329" t="str">
            <v>WR</v>
          </cell>
          <cell r="D329" t="str">
            <v>WR139</v>
          </cell>
          <cell r="E329">
            <v>371</v>
          </cell>
        </row>
        <row r="330">
          <cell r="B330" t="str">
            <v>Elijah Higgins</v>
          </cell>
          <cell r="C330" t="str">
            <v>TE</v>
          </cell>
          <cell r="D330" t="str">
            <v>TE49</v>
          </cell>
          <cell r="E330">
            <v>326</v>
          </cell>
        </row>
        <row r="331">
          <cell r="B331" t="str">
            <v>Jeremy McNichols</v>
          </cell>
          <cell r="C331" t="str">
            <v>RB</v>
          </cell>
          <cell r="D331" t="str">
            <v>RB99</v>
          </cell>
          <cell r="E331">
            <v>250</v>
          </cell>
        </row>
        <row r="332">
          <cell r="B332" t="str">
            <v>Kyle Juszczyk</v>
          </cell>
          <cell r="C332" t="str">
            <v>RB</v>
          </cell>
          <cell r="D332" t="str">
            <v>RB100</v>
          </cell>
          <cell r="E332">
            <v>249</v>
          </cell>
        </row>
        <row r="333">
          <cell r="B333" t="str">
            <v>Joe Milton III</v>
          </cell>
          <cell r="C333" t="str">
            <v>QB</v>
          </cell>
          <cell r="D333" t="str">
            <v>QB44</v>
          </cell>
          <cell r="E333">
            <v>423</v>
          </cell>
        </row>
        <row r="334">
          <cell r="B334" t="str">
            <v>Zamir White</v>
          </cell>
          <cell r="C334" t="str">
            <v>RB</v>
          </cell>
          <cell r="D334" t="str">
            <v>RB101</v>
          </cell>
          <cell r="E334">
            <v>298</v>
          </cell>
        </row>
        <row r="335">
          <cell r="B335" t="str">
            <v>Tyrell Shavers</v>
          </cell>
          <cell r="C335" t="str">
            <v>WR</v>
          </cell>
          <cell r="D335" t="str">
            <v>WR140</v>
          </cell>
          <cell r="E335">
            <v>274</v>
          </cell>
        </row>
        <row r="336">
          <cell r="B336" t="str">
            <v>-</v>
          </cell>
          <cell r="C336" t="str">
            <v>WR</v>
          </cell>
          <cell r="D336" t="str">
            <v>WR141</v>
          </cell>
          <cell r="E336">
            <v>259</v>
          </cell>
        </row>
        <row r="337">
          <cell r="B337" t="str">
            <v>Jake Bobo</v>
          </cell>
          <cell r="C337" t="str">
            <v>WR</v>
          </cell>
          <cell r="D337" t="str">
            <v>WR142</v>
          </cell>
          <cell r="E337">
            <v>304</v>
          </cell>
        </row>
        <row r="338">
          <cell r="B338" t="str">
            <v>Jameis Winston</v>
          </cell>
          <cell r="C338" t="str">
            <v>QB</v>
          </cell>
          <cell r="D338" t="str">
            <v>QB45</v>
          </cell>
          <cell r="E338">
            <v>308</v>
          </cell>
        </row>
        <row r="339">
          <cell r="B339" t="str">
            <v>Audric Estime</v>
          </cell>
          <cell r="C339" t="str">
            <v>RB</v>
          </cell>
          <cell r="D339" t="str">
            <v>RB102</v>
          </cell>
          <cell r="E339">
            <v>295</v>
          </cell>
        </row>
        <row r="340">
          <cell r="B340" t="str">
            <v>Trey Lance</v>
          </cell>
          <cell r="C340" t="str">
            <v>QB</v>
          </cell>
          <cell r="D340" t="str">
            <v>QB46</v>
          </cell>
          <cell r="E340">
            <v>348</v>
          </cell>
        </row>
        <row r="341">
          <cell r="B341" t="str">
            <v>David Moore</v>
          </cell>
          <cell r="C341" t="str">
            <v>WR</v>
          </cell>
          <cell r="D341" t="str">
            <v>WR143</v>
          </cell>
          <cell r="E341">
            <v>289</v>
          </cell>
        </row>
        <row r="342">
          <cell r="B342" t="str">
            <v>Xavier Hutchinson</v>
          </cell>
          <cell r="C342" t="str">
            <v>WR</v>
          </cell>
          <cell r="D342" t="str">
            <v>WR144</v>
          </cell>
          <cell r="E342">
            <v>278</v>
          </cell>
        </row>
        <row r="343">
          <cell r="B343" t="str">
            <v>-</v>
          </cell>
          <cell r="C343" t="str">
            <v>WR</v>
          </cell>
          <cell r="D343" t="str">
            <v>WR145</v>
          </cell>
          <cell r="E343">
            <v>370</v>
          </cell>
        </row>
        <row r="344">
          <cell r="B344" t="str">
            <v>Savion Williams</v>
          </cell>
          <cell r="C344" t="str">
            <v>WR</v>
          </cell>
          <cell r="D344" t="str">
            <v>WR146</v>
          </cell>
          <cell r="E344">
            <v>361</v>
          </cell>
        </row>
        <row r="345">
          <cell r="B345" t="str">
            <v>Gardner Minshew II</v>
          </cell>
          <cell r="C345" t="str">
            <v>QB</v>
          </cell>
          <cell r="D345" t="str">
            <v>QB47</v>
          </cell>
          <cell r="E345">
            <v>313</v>
          </cell>
        </row>
        <row r="346">
          <cell r="B346" t="str">
            <v>Tai Felton</v>
          </cell>
          <cell r="C346" t="str">
            <v>WR</v>
          </cell>
          <cell r="D346" t="str">
            <v>WR147</v>
          </cell>
          <cell r="E346">
            <v>340</v>
          </cell>
        </row>
        <row r="347">
          <cell r="B347" t="str">
            <v>-</v>
          </cell>
          <cell r="C347" t="str">
            <v>RB</v>
          </cell>
          <cell r="D347" t="str">
            <v>RB103</v>
          </cell>
          <cell r="E347">
            <v>252</v>
          </cell>
        </row>
        <row r="348">
          <cell r="B348" t="str">
            <v>Mason Rudolph</v>
          </cell>
          <cell r="C348" t="str">
            <v>QB</v>
          </cell>
          <cell r="D348" t="str">
            <v>QB48</v>
          </cell>
          <cell r="E348">
            <v>316</v>
          </cell>
        </row>
        <row r="349">
          <cell r="B349" t="str">
            <v>LeQuint Allen Jr.</v>
          </cell>
          <cell r="C349" t="str">
            <v>RB</v>
          </cell>
          <cell r="D349" t="str">
            <v>RB104</v>
          </cell>
          <cell r="E349">
            <v>320</v>
          </cell>
        </row>
        <row r="350">
          <cell r="B350" t="str">
            <v>Scotty Miller</v>
          </cell>
          <cell r="C350" t="str">
            <v>WR</v>
          </cell>
          <cell r="D350" t="str">
            <v>WR148</v>
          </cell>
          <cell r="E350">
            <v>245</v>
          </cell>
        </row>
        <row r="351">
          <cell r="B351" t="str">
            <v>Greg Dortch</v>
          </cell>
          <cell r="C351" t="str">
            <v>WR</v>
          </cell>
          <cell r="D351" t="str">
            <v>WR149</v>
          </cell>
          <cell r="E351">
            <v>341</v>
          </cell>
        </row>
        <row r="352">
          <cell r="B352" t="str">
            <v>Tyler Badie</v>
          </cell>
          <cell r="C352" t="str">
            <v>RB</v>
          </cell>
          <cell r="D352" t="str">
            <v>RB105</v>
          </cell>
          <cell r="E352">
            <v>242</v>
          </cell>
        </row>
        <row r="353">
          <cell r="B353" t="str">
            <v>Devontez Walker</v>
          </cell>
          <cell r="C353" t="str">
            <v>WR</v>
          </cell>
          <cell r="D353" t="str">
            <v>WR150</v>
          </cell>
          <cell r="E353">
            <v>358</v>
          </cell>
        </row>
        <row r="354">
          <cell r="B354" t="str">
            <v>Tanner McKee</v>
          </cell>
          <cell r="C354" t="str">
            <v>QB</v>
          </cell>
          <cell r="D354" t="str">
            <v>QB49</v>
          </cell>
          <cell r="E354">
            <v>356</v>
          </cell>
        </row>
        <row r="355">
          <cell r="B355" t="str">
            <v>-</v>
          </cell>
          <cell r="C355" t="str">
            <v>QB</v>
          </cell>
          <cell r="D355" t="str">
            <v>QB50</v>
          </cell>
          <cell r="E355">
            <v>424</v>
          </cell>
        </row>
        <row r="356">
          <cell r="B356" t="str">
            <v>Donovan Edwards</v>
          </cell>
          <cell r="C356" t="str">
            <v>RB</v>
          </cell>
          <cell r="D356" t="str">
            <v>RB106</v>
          </cell>
          <cell r="E356">
            <v>293</v>
          </cell>
        </row>
        <row r="357">
          <cell r="B357" t="str">
            <v>Kyle Allen</v>
          </cell>
          <cell r="C357" t="str">
            <v>QB</v>
          </cell>
          <cell r="D357" t="str">
            <v>QB51</v>
          </cell>
          <cell r="E357">
            <v>236</v>
          </cell>
        </row>
        <row r="358">
          <cell r="B358" t="str">
            <v>Emari Demercado</v>
          </cell>
          <cell r="C358" t="str">
            <v>RB</v>
          </cell>
          <cell r="D358" t="str">
            <v>RB107</v>
          </cell>
          <cell r="E358">
            <v>279</v>
          </cell>
        </row>
        <row r="359">
          <cell r="B359" t="str">
            <v>Frank Gore Jr.</v>
          </cell>
          <cell r="C359" t="str">
            <v>RB</v>
          </cell>
          <cell r="D359" t="str">
            <v>RB108</v>
          </cell>
          <cell r="E359">
            <v>237</v>
          </cell>
        </row>
        <row r="360">
          <cell r="B360" t="str">
            <v>Damien Martinez</v>
          </cell>
          <cell r="C360" t="str">
            <v>RB</v>
          </cell>
          <cell r="D360" t="str">
            <v>RB109</v>
          </cell>
          <cell r="E360">
            <v>240</v>
          </cell>
        </row>
        <row r="361">
          <cell r="B361" t="str">
            <v>Cade Stover</v>
          </cell>
          <cell r="C361" t="str">
            <v>TE</v>
          </cell>
          <cell r="D361" t="str">
            <v>TE50</v>
          </cell>
          <cell r="E361">
            <v>390</v>
          </cell>
        </row>
        <row r="362">
          <cell r="B362" t="str">
            <v>-</v>
          </cell>
          <cell r="C362" t="str">
            <v>WR</v>
          </cell>
          <cell r="D362" t="str">
            <v>WR151</v>
          </cell>
          <cell r="E362">
            <v>296</v>
          </cell>
        </row>
        <row r="363">
          <cell r="B363" t="str">
            <v>-</v>
          </cell>
          <cell r="C363" t="str">
            <v>WR</v>
          </cell>
          <cell r="D363" t="str">
            <v>WR152</v>
          </cell>
          <cell r="E363">
            <v>336</v>
          </cell>
        </row>
        <row r="364">
          <cell r="B364" t="str">
            <v>-</v>
          </cell>
          <cell r="C364" t="str">
            <v>RB</v>
          </cell>
          <cell r="D364" t="str">
            <v>RB110</v>
          </cell>
          <cell r="E364">
            <v>299</v>
          </cell>
        </row>
        <row r="365">
          <cell r="B365" t="str">
            <v>Quinn Ewers</v>
          </cell>
          <cell r="C365" t="str">
            <v>QB</v>
          </cell>
          <cell r="D365" t="str">
            <v>QB52</v>
          </cell>
          <cell r="E365">
            <v>323</v>
          </cell>
        </row>
        <row r="366">
          <cell r="B366" t="str">
            <v>Grant Calcaterra</v>
          </cell>
          <cell r="C366" t="str">
            <v>TE</v>
          </cell>
          <cell r="D366" t="str">
            <v>TE51</v>
          </cell>
          <cell r="E366">
            <v>352</v>
          </cell>
        </row>
        <row r="367">
          <cell r="B367" t="str">
            <v>-</v>
          </cell>
          <cell r="C367" t="str">
            <v>RB</v>
          </cell>
          <cell r="D367" t="str">
            <v>RB111</v>
          </cell>
          <cell r="E367">
            <v>248</v>
          </cell>
        </row>
        <row r="368">
          <cell r="B368" t="str">
            <v>Jarrett Stidham</v>
          </cell>
          <cell r="C368" t="str">
            <v>QB</v>
          </cell>
          <cell r="D368" t="str">
            <v>QB53</v>
          </cell>
          <cell r="E368">
            <v>388</v>
          </cell>
        </row>
        <row r="369">
          <cell r="B369" t="str">
            <v>Kendrick Bourne</v>
          </cell>
          <cell r="C369" t="str">
            <v>WR</v>
          </cell>
          <cell r="D369" t="str">
            <v>WR153</v>
          </cell>
          <cell r="E369">
            <v>317</v>
          </cell>
        </row>
        <row r="370">
          <cell r="B370" t="str">
            <v>Darnell Washington</v>
          </cell>
          <cell r="C370" t="str">
            <v>TE</v>
          </cell>
          <cell r="D370" t="str">
            <v>TE52</v>
          </cell>
          <cell r="E370">
            <v>373</v>
          </cell>
        </row>
        <row r="371">
          <cell r="B371" t="str">
            <v>Lucky Jackson</v>
          </cell>
          <cell r="C371" t="str">
            <v>WR</v>
          </cell>
          <cell r="D371" t="str">
            <v>WR154</v>
          </cell>
          <cell r="E371">
            <v>269</v>
          </cell>
        </row>
        <row r="372">
          <cell r="B372" t="str">
            <v>Hendon Hooker</v>
          </cell>
          <cell r="C372" t="str">
            <v>QB</v>
          </cell>
          <cell r="D372" t="str">
            <v>QB54</v>
          </cell>
          <cell r="E372">
            <v>263</v>
          </cell>
        </row>
        <row r="373">
          <cell r="B373" t="str">
            <v>Josh Oliver</v>
          </cell>
          <cell r="C373" t="str">
            <v>TE</v>
          </cell>
          <cell r="D373" t="str">
            <v>TE53</v>
          </cell>
          <cell r="E373">
            <v>389</v>
          </cell>
        </row>
        <row r="374">
          <cell r="B374" t="str">
            <v>Jordan Watkins</v>
          </cell>
          <cell r="C374" t="str">
            <v>WR</v>
          </cell>
          <cell r="D374" t="str">
            <v>WR155</v>
          </cell>
          <cell r="E374">
            <v>331</v>
          </cell>
        </row>
        <row r="375">
          <cell r="B375" t="str">
            <v>Charlie Jones</v>
          </cell>
          <cell r="C375" t="str">
            <v>WR</v>
          </cell>
          <cell r="D375" t="str">
            <v>WR156</v>
          </cell>
          <cell r="E375">
            <v>285</v>
          </cell>
        </row>
        <row r="376">
          <cell r="B376" t="str">
            <v>-</v>
          </cell>
          <cell r="C376" t="str">
            <v>RB</v>
          </cell>
          <cell r="D376" t="str">
            <v>RB112</v>
          </cell>
          <cell r="E376">
            <v>271</v>
          </cell>
        </row>
        <row r="377">
          <cell r="B377" t="str">
            <v>Jake Browning</v>
          </cell>
          <cell r="C377" t="str">
            <v>QB</v>
          </cell>
          <cell r="D377" t="str">
            <v>QB55</v>
          </cell>
          <cell r="E377">
            <v>443</v>
          </cell>
        </row>
        <row r="378">
          <cell r="B378" t="str">
            <v>Carson Steele</v>
          </cell>
          <cell r="C378" t="str">
            <v>RB</v>
          </cell>
          <cell r="D378" t="str">
            <v>RB113</v>
          </cell>
          <cell r="E378">
            <v>276</v>
          </cell>
        </row>
        <row r="379">
          <cell r="B379" t="str">
            <v>Odell Beckham Jr.</v>
          </cell>
          <cell r="C379" t="str">
            <v>WR</v>
          </cell>
          <cell r="D379" t="str">
            <v>WR157</v>
          </cell>
          <cell r="E379">
            <v>277</v>
          </cell>
        </row>
        <row r="380">
          <cell r="B380" t="str">
            <v>Ameer Abdullah</v>
          </cell>
          <cell r="C380" t="str">
            <v>RB</v>
          </cell>
          <cell r="D380" t="str">
            <v>RB114</v>
          </cell>
          <cell r="E380">
            <v>282</v>
          </cell>
        </row>
        <row r="381">
          <cell r="B381" t="str">
            <v>Payne Durham</v>
          </cell>
          <cell r="C381" t="str">
            <v>TE</v>
          </cell>
          <cell r="D381" t="str">
            <v>TE54</v>
          </cell>
          <cell r="E381">
            <v>362</v>
          </cell>
        </row>
        <row r="382">
          <cell r="B382" t="str">
            <v>-</v>
          </cell>
          <cell r="C382" t="str">
            <v>WR</v>
          </cell>
          <cell r="D382" t="str">
            <v>WR158</v>
          </cell>
          <cell r="E382">
            <v>283</v>
          </cell>
        </row>
        <row r="383">
          <cell r="B383" t="str">
            <v>Zach Wilson</v>
          </cell>
          <cell r="C383" t="str">
            <v>QB</v>
          </cell>
          <cell r="D383" t="str">
            <v>QB56</v>
          </cell>
          <cell r="E383">
            <v>430</v>
          </cell>
        </row>
        <row r="384">
          <cell r="B384" t="str">
            <v>-</v>
          </cell>
          <cell r="C384" t="str">
            <v>WR</v>
          </cell>
          <cell r="D384" t="str">
            <v>WR159</v>
          </cell>
          <cell r="E384">
            <v>286</v>
          </cell>
        </row>
        <row r="385">
          <cell r="B385" t="str">
            <v>Malachi Corley</v>
          </cell>
          <cell r="C385" t="str">
            <v>WR</v>
          </cell>
          <cell r="D385" t="str">
            <v>WR160</v>
          </cell>
          <cell r="E385">
            <v>287</v>
          </cell>
        </row>
        <row r="386">
          <cell r="B386" t="str">
            <v>Austin Hooper</v>
          </cell>
          <cell r="C386" t="str">
            <v>TE</v>
          </cell>
          <cell r="D386" t="str">
            <v>TE55</v>
          </cell>
          <cell r="E386">
            <v>416</v>
          </cell>
        </row>
        <row r="387">
          <cell r="B387" t="str">
            <v>Hassan Haskins</v>
          </cell>
          <cell r="C387" t="str">
            <v>RB</v>
          </cell>
          <cell r="D387" t="str">
            <v>RB115</v>
          </cell>
          <cell r="E387">
            <v>337</v>
          </cell>
        </row>
        <row r="388">
          <cell r="B388" t="str">
            <v>Robert Tonyan</v>
          </cell>
          <cell r="C388" t="str">
            <v>TE</v>
          </cell>
          <cell r="D388" t="str">
            <v>TE56</v>
          </cell>
          <cell r="E388">
            <v>357</v>
          </cell>
        </row>
        <row r="389">
          <cell r="B389" t="str">
            <v>Teddy Bridgewater</v>
          </cell>
          <cell r="C389" t="str">
            <v>QB</v>
          </cell>
          <cell r="D389" t="str">
            <v>QB57</v>
          </cell>
          <cell r="E389">
            <v>292</v>
          </cell>
        </row>
        <row r="390">
          <cell r="B390" t="str">
            <v>Chimere Dike</v>
          </cell>
          <cell r="C390" t="str">
            <v>WR</v>
          </cell>
          <cell r="D390" t="str">
            <v>WR161</v>
          </cell>
          <cell r="E390">
            <v>413</v>
          </cell>
        </row>
        <row r="391">
          <cell r="B391" t="str">
            <v>-</v>
          </cell>
          <cell r="C391" t="str">
            <v>RB</v>
          </cell>
          <cell r="D391" t="str">
            <v>RB116</v>
          </cell>
          <cell r="E391">
            <v>303</v>
          </cell>
        </row>
        <row r="392">
          <cell r="B392" t="str">
            <v>Jamari Thrash</v>
          </cell>
          <cell r="C392" t="str">
            <v>WR</v>
          </cell>
          <cell r="D392" t="str">
            <v>WR162</v>
          </cell>
          <cell r="E392">
            <v>427</v>
          </cell>
        </row>
        <row r="393">
          <cell r="B393" t="str">
            <v>Stone Smartt</v>
          </cell>
          <cell r="C393" t="str">
            <v>TE</v>
          </cell>
          <cell r="D393" t="str">
            <v>TE57</v>
          </cell>
          <cell r="E393">
            <v>321</v>
          </cell>
        </row>
        <row r="394">
          <cell r="B394" t="str">
            <v>Phil Mafah</v>
          </cell>
          <cell r="C394" t="str">
            <v>RB</v>
          </cell>
          <cell r="D394" t="str">
            <v>RB117</v>
          </cell>
          <cell r="E394">
            <v>428</v>
          </cell>
        </row>
        <row r="395">
          <cell r="B395" t="str">
            <v>Brady Cook</v>
          </cell>
          <cell r="C395" t="str">
            <v>QB</v>
          </cell>
          <cell r="D395" t="str">
            <v>QB58</v>
          </cell>
          <cell r="E395">
            <v>305</v>
          </cell>
        </row>
        <row r="396">
          <cell r="B396" t="str">
            <v>Drew Lock</v>
          </cell>
          <cell r="C396" t="str">
            <v>QB</v>
          </cell>
          <cell r="D396" t="str">
            <v>QB59</v>
          </cell>
          <cell r="E396">
            <v>312</v>
          </cell>
        </row>
        <row r="397">
          <cell r="B397" t="str">
            <v>Foster Moreau</v>
          </cell>
          <cell r="C397" t="str">
            <v>TE</v>
          </cell>
          <cell r="D397" t="str">
            <v>TE58</v>
          </cell>
          <cell r="E397">
            <v>314</v>
          </cell>
        </row>
        <row r="398">
          <cell r="B398" t="str">
            <v>Rasheen Ali</v>
          </cell>
          <cell r="C398" t="str">
            <v>RB</v>
          </cell>
          <cell r="D398" t="str">
            <v>RB118</v>
          </cell>
          <cell r="E398">
            <v>350</v>
          </cell>
        </row>
        <row r="399">
          <cell r="B399" t="str">
            <v>Nick Nash</v>
          </cell>
          <cell r="C399" t="str">
            <v>WR</v>
          </cell>
          <cell r="D399" t="str">
            <v>WR163</v>
          </cell>
          <cell r="E399">
            <v>328</v>
          </cell>
        </row>
        <row r="400">
          <cell r="B400" t="str">
            <v>Corey Kiner</v>
          </cell>
          <cell r="C400" t="str">
            <v>RB</v>
          </cell>
          <cell r="D400" t="str">
            <v>RB119</v>
          </cell>
          <cell r="E400">
            <v>350</v>
          </cell>
        </row>
        <row r="401">
          <cell r="B401" t="str">
            <v>Devin Culp</v>
          </cell>
          <cell r="C401" t="str">
            <v>TE</v>
          </cell>
          <cell r="D401" t="str">
            <v>TE59</v>
          </cell>
          <cell r="E401">
            <v>433</v>
          </cell>
        </row>
        <row r="402">
          <cell r="B402" t="str">
            <v>Mac Jones</v>
          </cell>
          <cell r="C402" t="str">
            <v>QB</v>
          </cell>
          <cell r="D402" t="str">
            <v>QB60</v>
          </cell>
          <cell r="E402">
            <v>432</v>
          </cell>
        </row>
        <row r="403">
          <cell r="B403" t="str">
            <v>Stetson Bennett IV</v>
          </cell>
          <cell r="C403" t="str">
            <v>QB</v>
          </cell>
          <cell r="D403" t="str">
            <v>QB61</v>
          </cell>
          <cell r="E403">
            <v>332</v>
          </cell>
        </row>
        <row r="404">
          <cell r="B404" t="str">
            <v>Konata Mumpfield</v>
          </cell>
          <cell r="C404" t="str">
            <v>WR</v>
          </cell>
          <cell r="D404" t="str">
            <v>WR164</v>
          </cell>
          <cell r="E404">
            <v>333</v>
          </cell>
        </row>
        <row r="405">
          <cell r="B405" t="str">
            <v>Julian Hill</v>
          </cell>
          <cell r="C405" t="str">
            <v>TE</v>
          </cell>
          <cell r="D405" t="str">
            <v>TE60</v>
          </cell>
          <cell r="E405">
            <v>421</v>
          </cell>
        </row>
        <row r="406">
          <cell r="B406" t="str">
            <v>Tyler Johnson</v>
          </cell>
          <cell r="C406" t="str">
            <v>WR</v>
          </cell>
          <cell r="D406" t="str">
            <v>WR165</v>
          </cell>
          <cell r="E406">
            <v>369</v>
          </cell>
        </row>
        <row r="407">
          <cell r="B407" t="str">
            <v>Kimani Vidal</v>
          </cell>
          <cell r="C407" t="str">
            <v>RB</v>
          </cell>
          <cell r="D407" t="str">
            <v>RB120</v>
          </cell>
          <cell r="E407">
            <v>339</v>
          </cell>
        </row>
        <row r="408">
          <cell r="B408" t="str">
            <v>Mason Tipton</v>
          </cell>
          <cell r="C408" t="str">
            <v>WR</v>
          </cell>
          <cell r="D408" t="str">
            <v>WR166</v>
          </cell>
          <cell r="E408">
            <v>345</v>
          </cell>
        </row>
        <row r="409">
          <cell r="B409" t="str">
            <v>Colby Parkinson</v>
          </cell>
          <cell r="C409" t="str">
            <v>TE</v>
          </cell>
          <cell r="D409" t="str">
            <v>TE61</v>
          </cell>
          <cell r="E409">
            <v>350</v>
          </cell>
        </row>
        <row r="410">
          <cell r="B410" t="str">
            <v>Drew Sample</v>
          </cell>
          <cell r="C410" t="str">
            <v>TE</v>
          </cell>
          <cell r="D410" t="str">
            <v>TE62</v>
          </cell>
          <cell r="E410">
            <v>350</v>
          </cell>
        </row>
        <row r="411">
          <cell r="B411" t="str">
            <v>Sione Vaki</v>
          </cell>
          <cell r="C411" t="str">
            <v>RB</v>
          </cell>
          <cell r="D411" t="str">
            <v>RB121</v>
          </cell>
          <cell r="E411">
            <v>359</v>
          </cell>
        </row>
        <row r="412">
          <cell r="B412" t="str">
            <v>Thomas Fidone II</v>
          </cell>
          <cell r="C412" t="str">
            <v>TE</v>
          </cell>
          <cell r="D412" t="str">
            <v>TE63</v>
          </cell>
          <cell r="E412">
            <v>409</v>
          </cell>
        </row>
        <row r="413">
          <cell r="B413" t="str">
            <v>Brock Wright</v>
          </cell>
          <cell r="C413" t="str">
            <v>TE</v>
          </cell>
          <cell r="D413" t="str">
            <v>TE64</v>
          </cell>
          <cell r="E413">
            <v>400</v>
          </cell>
        </row>
        <row r="414">
          <cell r="B414" t="str">
            <v>Michael Carter</v>
          </cell>
          <cell r="C414" t="str">
            <v>RB</v>
          </cell>
          <cell r="D414" t="str">
            <v>RB122</v>
          </cell>
          <cell r="E414">
            <v>346</v>
          </cell>
        </row>
        <row r="415">
          <cell r="B415" t="str">
            <v>Max Brosmer</v>
          </cell>
          <cell r="C415" t="str">
            <v>QB</v>
          </cell>
          <cell r="D415" t="str">
            <v>QB62</v>
          </cell>
          <cell r="E415">
            <v>349</v>
          </cell>
        </row>
        <row r="416">
          <cell r="B416" t="str">
            <v>Greg Dulcich</v>
          </cell>
          <cell r="C416" t="str">
            <v>TE</v>
          </cell>
          <cell r="D416" t="str">
            <v>TE65</v>
          </cell>
          <cell r="E416">
            <v>407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B6F-D83C-4694-92F0-9539A944B3A8}">
  <sheetPr codeName="Sheet4"/>
  <dimension ref="A1:AI319"/>
  <sheetViews>
    <sheetView workbookViewId="0">
      <selection activeCell="C1" sqref="C1:C1048576"/>
    </sheetView>
  </sheetViews>
  <sheetFormatPr defaultRowHeight="15" x14ac:dyDescent="0.25"/>
  <cols>
    <col min="2" max="2" width="12.28515625" customWidth="1"/>
    <col min="4" max="4" width="12.28515625" customWidth="1"/>
  </cols>
  <sheetData>
    <row r="1" spans="1:35" x14ac:dyDescent="0.25">
      <c r="A1" t="s">
        <v>0</v>
      </c>
      <c r="B1" t="s">
        <v>355</v>
      </c>
      <c r="C1" t="s">
        <v>3</v>
      </c>
      <c r="D1" t="s">
        <v>1</v>
      </c>
      <c r="E1" t="s">
        <v>2</v>
      </c>
      <c r="F1" t="s">
        <v>354</v>
      </c>
      <c r="G1" t="s">
        <v>4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</row>
    <row r="2" spans="1:35" x14ac:dyDescent="0.25">
      <c r="A2">
        <v>2025</v>
      </c>
      <c r="B2" t="s">
        <v>66</v>
      </c>
      <c r="C2" t="s">
        <v>68</v>
      </c>
      <c r="D2" t="str" cm="1">
        <f t="array" ref="D2">_xlfn.XLOOKUP(1,('26 WR'!A:A=E2)*('26 WR'!B:B=F2),'26 WR'!C:C)</f>
        <v>Josh Allen</v>
      </c>
      <c r="E2" t="s">
        <v>67</v>
      </c>
      <c r="F2">
        <v>1</v>
      </c>
      <c r="G2">
        <f>VLOOKUP(B2,[2]FantasyPros_2025_Overall_ADP_Ra!$B$2:$E$416,4,FALSE)</f>
        <v>24</v>
      </c>
      <c r="H2">
        <v>38.799999999999997</v>
      </c>
      <c r="I2">
        <v>11.8</v>
      </c>
      <c r="J2">
        <v>23</v>
      </c>
      <c r="K2">
        <v>25.9</v>
      </c>
      <c r="L2">
        <v>20.399999999999999</v>
      </c>
      <c r="M2">
        <v>17.399999999999999</v>
      </c>
      <c r="N2">
        <v>0</v>
      </c>
      <c r="O2">
        <v>23.2</v>
      </c>
      <c r="P2">
        <v>28.8</v>
      </c>
      <c r="Q2">
        <v>20.3</v>
      </c>
      <c r="R2">
        <v>44.7</v>
      </c>
      <c r="S2">
        <v>10.1</v>
      </c>
      <c r="T2">
        <v>17.7</v>
      </c>
      <c r="U2">
        <v>37.799999999999997</v>
      </c>
      <c r="V2">
        <v>374.6</v>
      </c>
      <c r="W2">
        <v>22</v>
      </c>
      <c r="X2">
        <v>1</v>
      </c>
      <c r="Y2">
        <v>1</v>
      </c>
      <c r="Z2">
        <v>15</v>
      </c>
      <c r="AA2">
        <v>13</v>
      </c>
      <c r="AB2">
        <v>11</v>
      </c>
      <c r="AC2">
        <v>5</v>
      </c>
      <c r="AD2">
        <v>3</v>
      </c>
      <c r="AE2">
        <v>0.88235294117647056</v>
      </c>
      <c r="AF2">
        <v>0.76470588235294112</v>
      </c>
      <c r="AG2">
        <v>0.6470588235294118</v>
      </c>
      <c r="AH2">
        <v>0.29411764705882354</v>
      </c>
      <c r="AI2">
        <v>0.17647058823529413</v>
      </c>
    </row>
    <row r="3" spans="1:35" x14ac:dyDescent="0.25">
      <c r="A3">
        <v>2025</v>
      </c>
      <c r="B3" t="s">
        <v>70</v>
      </c>
      <c r="C3" t="s">
        <v>41</v>
      </c>
      <c r="D3" t="str" cm="1">
        <f t="array" ref="D3">_xlfn.XLOOKUP(1,('26 WR'!A:A=E3)*('26 WR'!B:B=F3),'26 WR'!C:C)</f>
        <v>Lamar Jackson</v>
      </c>
      <c r="E3" t="s">
        <v>67</v>
      </c>
      <c r="F3">
        <v>2</v>
      </c>
      <c r="G3">
        <f>VLOOKUP(B3,[2]FantasyPros_2025_Overall_ADP_Ra!$B$2:$E$416,4,FALSE)</f>
        <v>27</v>
      </c>
      <c r="H3">
        <v>29.4</v>
      </c>
      <c r="I3">
        <v>26.3</v>
      </c>
      <c r="J3">
        <v>27</v>
      </c>
      <c r="K3">
        <v>11.7</v>
      </c>
      <c r="L3">
        <v>0</v>
      </c>
      <c r="M3">
        <v>0</v>
      </c>
      <c r="N3">
        <v>0</v>
      </c>
      <c r="O3">
        <v>0</v>
      </c>
      <c r="P3">
        <v>25.6</v>
      </c>
      <c r="Q3">
        <v>16.600000000000001</v>
      </c>
      <c r="R3">
        <v>6.7</v>
      </c>
      <c r="S3">
        <v>7.2</v>
      </c>
      <c r="T3">
        <v>7.5</v>
      </c>
      <c r="U3">
        <v>22.1</v>
      </c>
      <c r="V3">
        <v>221.9</v>
      </c>
      <c r="W3">
        <v>17.100000000000001</v>
      </c>
      <c r="X3">
        <v>20</v>
      </c>
      <c r="Y3">
        <v>1</v>
      </c>
      <c r="Z3">
        <v>9</v>
      </c>
      <c r="AA3">
        <v>8</v>
      </c>
      <c r="AB3">
        <v>6</v>
      </c>
      <c r="AC3">
        <v>4</v>
      </c>
      <c r="AD3">
        <v>0</v>
      </c>
      <c r="AE3">
        <v>0.52941176470588236</v>
      </c>
      <c r="AF3">
        <v>0.61538461538461542</v>
      </c>
      <c r="AG3">
        <v>0.46153846153846156</v>
      </c>
      <c r="AH3">
        <v>0.30769230769230771</v>
      </c>
      <c r="AI3">
        <v>0</v>
      </c>
    </row>
    <row r="4" spans="1:35" x14ac:dyDescent="0.25">
      <c r="A4">
        <v>2025</v>
      </c>
      <c r="B4" t="s">
        <v>79</v>
      </c>
      <c r="C4" t="s">
        <v>80</v>
      </c>
      <c r="D4" t="str" cm="1">
        <f t="array" ref="D4">_xlfn.XLOOKUP(1,('26 WR'!A:A=E4)*('26 WR'!B:B=F4),'26 WR'!C:C)</f>
        <v>Drake Maye</v>
      </c>
      <c r="E4" t="s">
        <v>67</v>
      </c>
      <c r="F4">
        <v>3</v>
      </c>
      <c r="G4">
        <f>VLOOKUP(B4,[2]FantasyPros_2025_Overall_ADP_Ra!$B$2:$E$416,4,FALSE)</f>
        <v>34</v>
      </c>
      <c r="H4">
        <v>20.100000000000001</v>
      </c>
      <c r="I4">
        <v>19.7</v>
      </c>
      <c r="J4">
        <v>0</v>
      </c>
      <c r="K4">
        <v>0</v>
      </c>
      <c r="L4">
        <v>17.100000000000001</v>
      </c>
      <c r="M4">
        <v>22.6</v>
      </c>
      <c r="N4">
        <v>17.7</v>
      </c>
      <c r="O4">
        <v>0</v>
      </c>
      <c r="P4">
        <v>16.2</v>
      </c>
      <c r="Q4">
        <v>0</v>
      </c>
      <c r="R4">
        <v>0</v>
      </c>
      <c r="S4">
        <v>0</v>
      </c>
      <c r="T4">
        <v>0</v>
      </c>
      <c r="U4">
        <v>3.7</v>
      </c>
      <c r="V4">
        <v>117.3</v>
      </c>
      <c r="W4">
        <v>16.8</v>
      </c>
      <c r="X4">
        <v>34</v>
      </c>
      <c r="Y4">
        <v>1</v>
      </c>
      <c r="Z4">
        <v>6</v>
      </c>
      <c r="AA4">
        <v>6</v>
      </c>
      <c r="AB4">
        <v>2</v>
      </c>
      <c r="AC4">
        <v>0</v>
      </c>
      <c r="AD4">
        <v>0</v>
      </c>
      <c r="AE4">
        <v>0.35294117647058826</v>
      </c>
      <c r="AF4">
        <v>0.8571428571428571</v>
      </c>
      <c r="AG4">
        <v>0.2857142857142857</v>
      </c>
      <c r="AH4">
        <v>0</v>
      </c>
      <c r="AI4">
        <v>0</v>
      </c>
    </row>
    <row r="5" spans="1:35" x14ac:dyDescent="0.25">
      <c r="A5">
        <v>2025</v>
      </c>
      <c r="B5" t="s">
        <v>88</v>
      </c>
      <c r="C5" t="s">
        <v>33</v>
      </c>
      <c r="D5" t="str" cm="1">
        <f t="array" ref="D5">_xlfn.XLOOKUP(1,('26 WR'!A:A=E5)*('26 WR'!B:B=F5),'26 WR'!C:C)</f>
        <v>Joe Burrow</v>
      </c>
      <c r="E5" t="s">
        <v>67</v>
      </c>
      <c r="F5">
        <v>4</v>
      </c>
      <c r="G5">
        <f>VLOOKUP(B5,[2]FantasyPros_2025_Overall_ADP_Ra!$B$2:$E$416,4,FALSE)</f>
        <v>42</v>
      </c>
      <c r="H5">
        <v>24.3</v>
      </c>
      <c r="I5">
        <v>11.5</v>
      </c>
      <c r="J5">
        <v>29</v>
      </c>
      <c r="K5">
        <v>19.399999999999999</v>
      </c>
      <c r="L5">
        <v>19.5</v>
      </c>
      <c r="M5">
        <v>21.6</v>
      </c>
      <c r="N5">
        <v>24</v>
      </c>
      <c r="O5">
        <v>25.4</v>
      </c>
      <c r="P5">
        <v>0</v>
      </c>
      <c r="Q5">
        <v>12</v>
      </c>
      <c r="R5">
        <v>14.5</v>
      </c>
      <c r="S5">
        <v>30.9</v>
      </c>
      <c r="T5">
        <v>17.3</v>
      </c>
      <c r="U5">
        <v>4.4000000000000004</v>
      </c>
      <c r="V5">
        <v>305.10000000000002</v>
      </c>
      <c r="W5">
        <v>19.100000000000001</v>
      </c>
      <c r="X5">
        <v>9</v>
      </c>
      <c r="Y5">
        <v>1</v>
      </c>
      <c r="Z5">
        <v>14</v>
      </c>
      <c r="AA5">
        <v>11</v>
      </c>
      <c r="AB5">
        <v>7</v>
      </c>
      <c r="AC5">
        <v>3</v>
      </c>
      <c r="AD5">
        <v>1</v>
      </c>
      <c r="AE5">
        <v>0.82352941176470584</v>
      </c>
      <c r="AF5">
        <v>0.6875</v>
      </c>
      <c r="AG5">
        <v>0.4375</v>
      </c>
      <c r="AH5">
        <v>0.1875</v>
      </c>
      <c r="AI5">
        <v>6.25E-2</v>
      </c>
    </row>
    <row r="6" spans="1:35" x14ac:dyDescent="0.25">
      <c r="A6">
        <v>2025</v>
      </c>
      <c r="B6" t="s">
        <v>93</v>
      </c>
      <c r="C6" t="s">
        <v>21</v>
      </c>
      <c r="D6" t="str" cm="1">
        <f t="array" ref="D6">_xlfn.XLOOKUP(1,('26 WR'!A:A=E6)*('26 WR'!B:B=F6),'26 WR'!C:C)</f>
        <v>Jayden Daniels</v>
      </c>
      <c r="E6" t="s">
        <v>67</v>
      </c>
      <c r="F6">
        <v>5</v>
      </c>
      <c r="G6">
        <f>VLOOKUP(B6,[2]FantasyPros_2025_Overall_ADP_Ra!$B$2:$E$416,4,FALSE)</f>
        <v>45</v>
      </c>
      <c r="H6">
        <v>8.8000000000000007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19.2</v>
      </c>
      <c r="U6">
        <v>25.4</v>
      </c>
      <c r="V6">
        <v>139.5</v>
      </c>
      <c r="W6">
        <v>17.399999999999999</v>
      </c>
      <c r="X6">
        <v>7</v>
      </c>
      <c r="Y6">
        <v>1</v>
      </c>
      <c r="Z6">
        <v>5</v>
      </c>
      <c r="AA6">
        <v>5</v>
      </c>
      <c r="AB6">
        <v>4</v>
      </c>
      <c r="AC6">
        <v>2</v>
      </c>
      <c r="AD6">
        <v>0</v>
      </c>
      <c r="AE6">
        <v>0.29411764705882354</v>
      </c>
      <c r="AF6">
        <v>0.625</v>
      </c>
      <c r="AG6">
        <v>0.5</v>
      </c>
      <c r="AH6">
        <v>0.25</v>
      </c>
      <c r="AI6">
        <v>0</v>
      </c>
    </row>
    <row r="7" spans="1:35" x14ac:dyDescent="0.25">
      <c r="A7">
        <v>2025</v>
      </c>
      <c r="B7" t="s">
        <v>129</v>
      </c>
      <c r="C7" t="s">
        <v>85</v>
      </c>
      <c r="D7" t="str" cm="1">
        <f t="array" ref="D7">_xlfn.XLOOKUP(1,('26 WR'!A:A=E7)*('26 WR'!B:B=F7),'26 WR'!C:C)</f>
        <v>Jalen Hurts</v>
      </c>
      <c r="E7" t="s">
        <v>67</v>
      </c>
      <c r="F7">
        <v>6</v>
      </c>
      <c r="G7">
        <f>VLOOKUP(B7,[2]FantasyPros_2025_Overall_ADP_Ra!$B$2:$E$416,4,FALSE)</f>
        <v>72</v>
      </c>
      <c r="H7">
        <v>26</v>
      </c>
      <c r="I7">
        <v>23.1</v>
      </c>
      <c r="J7">
        <v>13.2</v>
      </c>
      <c r="K7">
        <v>27.3</v>
      </c>
      <c r="L7">
        <v>27.7</v>
      </c>
      <c r="M7">
        <v>31.5</v>
      </c>
      <c r="N7">
        <v>26.2</v>
      </c>
      <c r="O7">
        <v>25</v>
      </c>
      <c r="P7">
        <v>11.5</v>
      </c>
      <c r="Q7">
        <v>0</v>
      </c>
      <c r="R7">
        <v>14.3</v>
      </c>
      <c r="S7">
        <v>18.100000000000001</v>
      </c>
      <c r="T7">
        <v>29.4</v>
      </c>
      <c r="U7">
        <v>8.3000000000000007</v>
      </c>
      <c r="V7">
        <v>295.7</v>
      </c>
      <c r="W7">
        <v>21.1</v>
      </c>
      <c r="X7">
        <v>11</v>
      </c>
      <c r="Y7">
        <v>1</v>
      </c>
      <c r="Z7">
        <v>13</v>
      </c>
      <c r="AA7">
        <v>9</v>
      </c>
      <c r="AB7">
        <v>8</v>
      </c>
      <c r="AC7">
        <v>6</v>
      </c>
      <c r="AD7">
        <v>1</v>
      </c>
      <c r="AE7">
        <v>0.76470588235294112</v>
      </c>
      <c r="AF7">
        <v>0.6428571428571429</v>
      </c>
      <c r="AG7">
        <v>0.5714285714285714</v>
      </c>
      <c r="AH7">
        <v>0.42857142857142855</v>
      </c>
      <c r="AI7">
        <v>7.1428571428571425E-2</v>
      </c>
    </row>
    <row r="8" spans="1:35" x14ac:dyDescent="0.25">
      <c r="A8">
        <v>2025</v>
      </c>
      <c r="B8" t="s">
        <v>138</v>
      </c>
      <c r="C8" t="s">
        <v>57</v>
      </c>
      <c r="D8" t="str" cm="1">
        <f t="array" ref="D8">_xlfn.XLOOKUP(1,('26 WR'!A:A=E8)*('26 WR'!B:B=F8),'26 WR'!C:C)</f>
        <v>Caleb Williams</v>
      </c>
      <c r="E8" t="s">
        <v>67</v>
      </c>
      <c r="F8">
        <v>7</v>
      </c>
      <c r="G8">
        <f>VLOOKUP(B8,[2]FantasyPros_2025_Overall_ADP_Ra!$B$2:$E$416,4,FALSE)</f>
        <v>79</v>
      </c>
      <c r="H8">
        <v>22.6</v>
      </c>
      <c r="I8">
        <v>19.899999999999999</v>
      </c>
      <c r="J8">
        <v>17.7</v>
      </c>
      <c r="K8">
        <v>19.899999999999999</v>
      </c>
      <c r="L8">
        <v>26.7</v>
      </c>
      <c r="M8">
        <v>19.600000000000001</v>
      </c>
      <c r="N8">
        <v>12.1</v>
      </c>
      <c r="O8">
        <v>4.0999999999999996</v>
      </c>
      <c r="P8">
        <v>0</v>
      </c>
      <c r="Q8">
        <v>22.9</v>
      </c>
      <c r="R8">
        <v>17.8</v>
      </c>
      <c r="S8">
        <v>5.5</v>
      </c>
      <c r="T8">
        <v>14.5</v>
      </c>
      <c r="U8">
        <v>12.1</v>
      </c>
      <c r="V8">
        <v>282.89999999999998</v>
      </c>
      <c r="W8">
        <v>16.600000000000001</v>
      </c>
      <c r="X8">
        <v>12</v>
      </c>
      <c r="Y8">
        <v>1</v>
      </c>
      <c r="Z8">
        <v>15</v>
      </c>
      <c r="AA8">
        <v>10</v>
      </c>
      <c r="AB8">
        <v>4</v>
      </c>
      <c r="AC8">
        <v>1</v>
      </c>
      <c r="AD8">
        <v>0</v>
      </c>
      <c r="AE8">
        <v>0.88235294117647056</v>
      </c>
      <c r="AF8">
        <v>0.58823529411764708</v>
      </c>
      <c r="AG8">
        <v>0.23529411764705882</v>
      </c>
      <c r="AH8">
        <v>5.8823529411764705E-2</v>
      </c>
      <c r="AI8">
        <v>0</v>
      </c>
    </row>
    <row r="9" spans="1:35" x14ac:dyDescent="0.25">
      <c r="A9">
        <v>2025</v>
      </c>
      <c r="B9" t="s">
        <v>144</v>
      </c>
      <c r="C9" t="s">
        <v>98</v>
      </c>
      <c r="D9" t="str" cm="1">
        <f t="array" ref="D9">_xlfn.XLOOKUP(1,('26 WR'!A:A=E9)*('26 WR'!B:B=F9),'26 WR'!C:C)</f>
        <v>Justin Herbert</v>
      </c>
      <c r="E9" t="s">
        <v>67</v>
      </c>
      <c r="F9">
        <v>8</v>
      </c>
      <c r="G9">
        <f>VLOOKUP(B9,[2]FantasyPros_2025_Overall_ADP_Ra!$B$2:$E$416,4,FALSE)</f>
        <v>83</v>
      </c>
      <c r="H9">
        <v>8.8000000000000007</v>
      </c>
      <c r="I9">
        <v>21.2</v>
      </c>
      <c r="J9">
        <v>13.4</v>
      </c>
      <c r="K9">
        <v>26.7</v>
      </c>
      <c r="L9">
        <v>17.899999999999999</v>
      </c>
      <c r="M9">
        <v>13.4</v>
      </c>
      <c r="N9">
        <v>40</v>
      </c>
      <c r="O9">
        <v>24.8</v>
      </c>
      <c r="P9">
        <v>19.5</v>
      </c>
      <c r="Q9">
        <v>7.8</v>
      </c>
      <c r="R9">
        <v>12.6</v>
      </c>
      <c r="S9">
        <v>0</v>
      </c>
      <c r="T9">
        <v>17.399999999999999</v>
      </c>
      <c r="U9">
        <v>16</v>
      </c>
      <c r="V9">
        <v>315.8</v>
      </c>
      <c r="W9">
        <v>18.600000000000001</v>
      </c>
      <c r="X9">
        <v>7</v>
      </c>
      <c r="Y9">
        <v>1</v>
      </c>
      <c r="Z9">
        <v>15</v>
      </c>
      <c r="AA9">
        <v>11</v>
      </c>
      <c r="AB9">
        <v>6</v>
      </c>
      <c r="AC9">
        <v>3</v>
      </c>
      <c r="AD9">
        <v>1</v>
      </c>
      <c r="AE9">
        <v>0.88235294117647056</v>
      </c>
      <c r="AF9">
        <v>0.6470588235294118</v>
      </c>
      <c r="AG9">
        <v>0.35294117647058826</v>
      </c>
      <c r="AH9">
        <v>0.17647058823529413</v>
      </c>
      <c r="AI9">
        <v>5.8823529411764705E-2</v>
      </c>
    </row>
    <row r="10" spans="1:35" x14ac:dyDescent="0.25">
      <c r="A10">
        <v>2025</v>
      </c>
      <c r="B10" t="s">
        <v>147</v>
      </c>
      <c r="C10" t="s">
        <v>35</v>
      </c>
      <c r="D10" t="str" cm="1">
        <f t="array" ref="D10">_xlfn.XLOOKUP(1,('26 WR'!A:A=E10)*('26 WR'!B:B=F10),'26 WR'!C:C)</f>
        <v>Trevor Lawrence</v>
      </c>
      <c r="E10" t="s">
        <v>67</v>
      </c>
      <c r="F10">
        <v>9</v>
      </c>
      <c r="G10">
        <f>VLOOKUP(B10,[2]FantasyPros_2025_Overall_ADP_Ra!$B$2:$E$416,4,FALSE)</f>
        <v>87</v>
      </c>
      <c r="H10">
        <v>7.8</v>
      </c>
      <c r="I10">
        <v>23.1</v>
      </c>
      <c r="J10">
        <v>14</v>
      </c>
      <c r="K10">
        <v>31</v>
      </c>
      <c r="L10">
        <v>28.3</v>
      </c>
      <c r="M10">
        <v>22.3</v>
      </c>
      <c r="N10">
        <v>23.3</v>
      </c>
      <c r="O10">
        <v>8.6</v>
      </c>
      <c r="P10">
        <v>16.399999999999999</v>
      </c>
      <c r="Q10">
        <v>0</v>
      </c>
      <c r="R10">
        <v>24.3</v>
      </c>
      <c r="S10">
        <v>28.1</v>
      </c>
      <c r="T10">
        <v>21.6</v>
      </c>
      <c r="U10">
        <v>20.399999999999999</v>
      </c>
      <c r="V10">
        <v>323.8</v>
      </c>
      <c r="W10">
        <v>19</v>
      </c>
      <c r="X10">
        <v>5</v>
      </c>
      <c r="Y10">
        <v>1</v>
      </c>
      <c r="Z10">
        <v>14</v>
      </c>
      <c r="AA10">
        <v>12</v>
      </c>
      <c r="AB10">
        <v>10</v>
      </c>
      <c r="AC10">
        <v>3</v>
      </c>
      <c r="AD10">
        <v>1</v>
      </c>
      <c r="AE10">
        <v>0.82352941176470584</v>
      </c>
      <c r="AF10">
        <v>0.70588235294117652</v>
      </c>
      <c r="AG10">
        <v>0.58823529411764708</v>
      </c>
      <c r="AH10">
        <v>0.17647058823529413</v>
      </c>
      <c r="AI10">
        <v>5.8823529411764705E-2</v>
      </c>
    </row>
    <row r="11" spans="1:35" x14ac:dyDescent="0.25">
      <c r="A11">
        <v>2025</v>
      </c>
      <c r="B11" t="s">
        <v>158</v>
      </c>
      <c r="C11" t="s">
        <v>45</v>
      </c>
      <c r="D11" t="str" cm="1">
        <f t="array" ref="D11">_xlfn.XLOOKUP(1,('26 WR'!A:A=E11)*('26 WR'!B:B=F11),'26 WR'!C:C)</f>
        <v>Dak Prescott</v>
      </c>
      <c r="E11" t="s">
        <v>67</v>
      </c>
      <c r="F11">
        <v>10</v>
      </c>
      <c r="G11">
        <f>VLOOKUP(B11,[2]FantasyPros_2025_Overall_ADP_Ra!$B$2:$E$416,4,FALSE)</f>
        <v>98</v>
      </c>
      <c r="H11">
        <v>18.3</v>
      </c>
      <c r="I11">
        <v>15</v>
      </c>
      <c r="J11">
        <v>14.1</v>
      </c>
      <c r="K11">
        <v>18.100000000000001</v>
      </c>
      <c r="L11">
        <v>15.3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80.8</v>
      </c>
      <c r="W11">
        <v>16.2</v>
      </c>
      <c r="X11">
        <v>38</v>
      </c>
      <c r="Y11">
        <v>1</v>
      </c>
      <c r="Z11">
        <v>5</v>
      </c>
      <c r="AA11">
        <v>3</v>
      </c>
      <c r="AB11">
        <v>0</v>
      </c>
      <c r="AC11">
        <v>0</v>
      </c>
      <c r="AD11">
        <v>0</v>
      </c>
      <c r="AE11">
        <v>0.29411764705882354</v>
      </c>
      <c r="AF11">
        <v>0.6</v>
      </c>
      <c r="AG11">
        <v>0</v>
      </c>
      <c r="AH11">
        <v>0</v>
      </c>
      <c r="AI11">
        <v>0</v>
      </c>
    </row>
    <row r="12" spans="1:35" x14ac:dyDescent="0.25">
      <c r="A12">
        <v>2025</v>
      </c>
      <c r="B12" t="s">
        <v>163</v>
      </c>
      <c r="C12" t="s">
        <v>26</v>
      </c>
      <c r="D12" t="str" cm="1">
        <f t="array" ref="D12">_xlfn.XLOOKUP(1,('26 WR'!A:A=E12)*('26 WR'!B:B=F12),'26 WR'!C:C)</f>
        <v>Jaxson Dart</v>
      </c>
      <c r="E12" t="s">
        <v>67</v>
      </c>
      <c r="F12">
        <v>11</v>
      </c>
      <c r="G12">
        <f>VLOOKUP(B12,[2]FantasyPros_2025_Overall_ADP_Ra!$B$2:$E$416,4,FALSE)</f>
        <v>101</v>
      </c>
      <c r="H12">
        <v>18.8</v>
      </c>
      <c r="I12">
        <v>0</v>
      </c>
      <c r="J12">
        <v>0</v>
      </c>
      <c r="K12">
        <v>19.7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19.3</v>
      </c>
      <c r="S12">
        <v>10.3</v>
      </c>
      <c r="T12">
        <v>17.100000000000001</v>
      </c>
      <c r="U12">
        <v>0</v>
      </c>
      <c r="V12">
        <v>187.4</v>
      </c>
      <c r="W12">
        <v>20.8</v>
      </c>
      <c r="X12">
        <v>15</v>
      </c>
      <c r="Y12">
        <v>1</v>
      </c>
      <c r="Z12">
        <v>8</v>
      </c>
      <c r="AA12">
        <v>7</v>
      </c>
      <c r="AB12">
        <v>3</v>
      </c>
      <c r="AC12">
        <v>3</v>
      </c>
      <c r="AD12">
        <v>2</v>
      </c>
      <c r="AE12">
        <v>0.47058823529411764</v>
      </c>
      <c r="AF12">
        <v>0.77777777777777779</v>
      </c>
      <c r="AG12">
        <v>0.33333333333333331</v>
      </c>
      <c r="AH12">
        <v>0.33333333333333331</v>
      </c>
      <c r="AI12">
        <v>0.22222222222222221</v>
      </c>
    </row>
    <row r="13" spans="1:35" x14ac:dyDescent="0.25">
      <c r="A13">
        <v>2025</v>
      </c>
      <c r="B13" t="s">
        <v>167</v>
      </c>
      <c r="C13" t="s">
        <v>37</v>
      </c>
      <c r="D13" t="str" cm="1">
        <f t="array" ref="D13">_xlfn.XLOOKUP(1,('26 WR'!A:A=E13)*('26 WR'!B:B=F13),'26 WR'!C:C)</f>
        <v>Brock Purdy</v>
      </c>
      <c r="E13" t="s">
        <v>67</v>
      </c>
      <c r="F13">
        <v>12</v>
      </c>
      <c r="G13">
        <f>VLOOKUP(B13,[2]FantasyPros_2025_Overall_ADP_Ra!$B$2:$E$416,4,FALSE)</f>
        <v>104</v>
      </c>
      <c r="H13">
        <v>11.9</v>
      </c>
      <c r="I13">
        <v>34</v>
      </c>
      <c r="J13">
        <v>12.7</v>
      </c>
      <c r="K13">
        <v>13.7</v>
      </c>
      <c r="L13">
        <v>20.100000000000001</v>
      </c>
      <c r="M13">
        <v>16.8</v>
      </c>
      <c r="N13">
        <v>11.3</v>
      </c>
      <c r="O13">
        <v>0</v>
      </c>
      <c r="P13">
        <v>19.399999999999999</v>
      </c>
      <c r="Q13">
        <v>24.8</v>
      </c>
      <c r="R13">
        <v>13.1</v>
      </c>
      <c r="S13">
        <v>18.2</v>
      </c>
      <c r="T13">
        <v>20.6</v>
      </c>
      <c r="U13">
        <v>16.2</v>
      </c>
      <c r="V13">
        <v>305.10000000000002</v>
      </c>
      <c r="W13">
        <v>17.899999999999999</v>
      </c>
      <c r="X13">
        <v>8</v>
      </c>
      <c r="Y13">
        <v>1</v>
      </c>
      <c r="Z13">
        <v>16</v>
      </c>
      <c r="AA13">
        <v>11</v>
      </c>
      <c r="AB13">
        <v>6</v>
      </c>
      <c r="AC13">
        <v>3</v>
      </c>
      <c r="AD13">
        <v>1</v>
      </c>
      <c r="AE13">
        <v>0.94117647058823528</v>
      </c>
      <c r="AF13">
        <v>0.6470588235294118</v>
      </c>
      <c r="AG13">
        <v>0.35294117647058826</v>
      </c>
      <c r="AH13">
        <v>0.17647058823529413</v>
      </c>
      <c r="AI13">
        <v>5.8823529411764705E-2</v>
      </c>
    </row>
    <row r="14" spans="1:35" x14ac:dyDescent="0.25">
      <c r="A14">
        <v>2025</v>
      </c>
      <c r="B14" t="s">
        <v>143</v>
      </c>
      <c r="C14" t="s">
        <v>90</v>
      </c>
      <c r="D14" t="str" cm="1">
        <f t="array" ref="D14">_xlfn.XLOOKUP(1,('26 WR'!A:A=E14)*('26 WR'!B:B=F14),'26 WR'!C:C)</f>
        <v>Patrick Mahomes II</v>
      </c>
      <c r="E14" t="s">
        <v>67</v>
      </c>
      <c r="F14">
        <v>13</v>
      </c>
      <c r="G14">
        <f>VLOOKUP(B14,[2]FantasyPros_2025_Overall_ADP_Ra!$B$2:$E$416,4,FALSE)</f>
        <v>108</v>
      </c>
      <c r="H14">
        <v>29.5</v>
      </c>
      <c r="I14">
        <v>4</v>
      </c>
      <c r="J14">
        <v>0</v>
      </c>
      <c r="K14">
        <v>27.1</v>
      </c>
      <c r="L14">
        <v>25.9</v>
      </c>
      <c r="M14">
        <v>4.9000000000000004</v>
      </c>
      <c r="N14">
        <v>4</v>
      </c>
      <c r="O14">
        <v>20.9</v>
      </c>
      <c r="P14">
        <v>0</v>
      </c>
      <c r="Q14">
        <v>8</v>
      </c>
      <c r="R14">
        <v>19.3</v>
      </c>
      <c r="S14">
        <v>0</v>
      </c>
      <c r="T14">
        <v>0</v>
      </c>
      <c r="U14">
        <v>0</v>
      </c>
      <c r="V14">
        <v>143.69999999999999</v>
      </c>
      <c r="W14">
        <v>16</v>
      </c>
      <c r="X14">
        <v>10</v>
      </c>
      <c r="Y14">
        <v>1</v>
      </c>
      <c r="Z14">
        <v>5</v>
      </c>
      <c r="AA14">
        <v>5</v>
      </c>
      <c r="AB14">
        <v>4</v>
      </c>
      <c r="AC14">
        <v>3</v>
      </c>
      <c r="AD14">
        <v>0</v>
      </c>
      <c r="AE14">
        <v>0.29411764705882354</v>
      </c>
      <c r="AF14">
        <v>0.55555555555555558</v>
      </c>
      <c r="AG14">
        <v>0.44444444444444442</v>
      </c>
      <c r="AH14">
        <v>0.33333333333333331</v>
      </c>
      <c r="AI14">
        <v>0</v>
      </c>
    </row>
    <row r="15" spans="1:35" x14ac:dyDescent="0.25">
      <c r="A15">
        <v>2025</v>
      </c>
      <c r="B15" t="s">
        <v>161</v>
      </c>
      <c r="C15" t="s">
        <v>110</v>
      </c>
      <c r="D15" t="str" cm="1">
        <f t="array" ref="D15">_xlfn.XLOOKUP(1,('26 WR'!A:A=E15)*('26 WR'!B:B=F15),'26 WR'!C:C)</f>
        <v>Bo Nix</v>
      </c>
      <c r="E15" t="s">
        <v>67</v>
      </c>
      <c r="F15">
        <v>14</v>
      </c>
      <c r="G15">
        <f>VLOOKUP(B15,[2]FantasyPros_2025_Overall_ADP_Ra!$B$2:$E$416,4,FALSE)</f>
        <v>111</v>
      </c>
      <c r="H15">
        <v>24.2</v>
      </c>
      <c r="I15">
        <v>18</v>
      </c>
      <c r="J15">
        <v>29.1</v>
      </c>
      <c r="K15">
        <v>12.8</v>
      </c>
      <c r="L15">
        <v>0</v>
      </c>
      <c r="M15">
        <v>19.899999999999999</v>
      </c>
      <c r="N15">
        <v>5.7</v>
      </c>
      <c r="O15">
        <v>12.8</v>
      </c>
      <c r="P15">
        <v>36.700000000000003</v>
      </c>
      <c r="Q15">
        <v>25.1</v>
      </c>
      <c r="R15">
        <v>10.3</v>
      </c>
      <c r="S15">
        <v>21.7</v>
      </c>
      <c r="T15">
        <v>10.5</v>
      </c>
      <c r="U15">
        <v>15.9</v>
      </c>
      <c r="V15">
        <v>323.2</v>
      </c>
      <c r="W15">
        <v>19</v>
      </c>
      <c r="X15">
        <v>6</v>
      </c>
      <c r="Y15">
        <v>1</v>
      </c>
      <c r="Z15">
        <v>16</v>
      </c>
      <c r="AA15">
        <v>12</v>
      </c>
      <c r="AB15">
        <v>7</v>
      </c>
      <c r="AC15">
        <v>3</v>
      </c>
      <c r="AD15">
        <v>1</v>
      </c>
      <c r="AE15">
        <v>0.94117647058823528</v>
      </c>
      <c r="AF15">
        <v>0.70588235294117652</v>
      </c>
      <c r="AG15">
        <v>0.41176470588235292</v>
      </c>
      <c r="AH15">
        <v>0.17647058823529413</v>
      </c>
      <c r="AI15">
        <v>5.8823529411764705E-2</v>
      </c>
    </row>
    <row r="16" spans="1:35" x14ac:dyDescent="0.25">
      <c r="A16">
        <v>2025</v>
      </c>
      <c r="B16" t="s">
        <v>170</v>
      </c>
      <c r="C16" t="s">
        <v>78</v>
      </c>
      <c r="D16" t="str" cm="1">
        <f t="array" ref="D16">_xlfn.XLOOKUP(1,('26 WR'!A:A=E16)*('26 WR'!B:B=F16),'26 WR'!C:C)</f>
        <v>Matthew Stafford</v>
      </c>
      <c r="E16" t="s">
        <v>67</v>
      </c>
      <c r="F16">
        <v>15</v>
      </c>
      <c r="G16">
        <f>VLOOKUP(B16,[2]FantasyPros_2025_Overall_ADP_Ra!$B$2:$E$416,4,FALSE)</f>
        <v>113</v>
      </c>
      <c r="H16">
        <v>15.8</v>
      </c>
      <c r="I16">
        <v>26.3</v>
      </c>
      <c r="J16">
        <v>20.2</v>
      </c>
      <c r="K16">
        <v>23.2</v>
      </c>
      <c r="L16">
        <v>12.1</v>
      </c>
      <c r="M16">
        <v>27.2</v>
      </c>
      <c r="N16">
        <v>23.1</v>
      </c>
      <c r="O16">
        <v>27.3</v>
      </c>
      <c r="P16">
        <v>17.399999999999999</v>
      </c>
      <c r="Q16">
        <v>19.100000000000001</v>
      </c>
      <c r="R16">
        <v>15.4</v>
      </c>
      <c r="S16">
        <v>17</v>
      </c>
      <c r="T16">
        <v>20.5</v>
      </c>
      <c r="U16">
        <v>0</v>
      </c>
      <c r="V16">
        <v>359</v>
      </c>
      <c r="W16">
        <v>21.1</v>
      </c>
      <c r="X16">
        <v>2</v>
      </c>
      <c r="Y16">
        <v>1</v>
      </c>
      <c r="Z16">
        <v>17</v>
      </c>
      <c r="AA16">
        <v>16</v>
      </c>
      <c r="AB16">
        <v>10</v>
      </c>
      <c r="AC16">
        <v>4</v>
      </c>
      <c r="AD16">
        <v>1</v>
      </c>
      <c r="AE16">
        <v>1</v>
      </c>
      <c r="AF16">
        <v>0.94117647058823528</v>
      </c>
      <c r="AG16">
        <v>0.58823529411764708</v>
      </c>
      <c r="AH16">
        <v>0.23529411764705882</v>
      </c>
      <c r="AI16">
        <v>5.8823529411764705E-2</v>
      </c>
    </row>
    <row r="17" spans="1:35" x14ac:dyDescent="0.25">
      <c r="A17">
        <v>2025</v>
      </c>
      <c r="B17" t="s">
        <v>185</v>
      </c>
      <c r="C17" t="s">
        <v>65</v>
      </c>
      <c r="D17" t="str" cm="1">
        <f t="array" ref="D17">_xlfn.XLOOKUP(1,('26 WR'!A:A=E17)*('26 WR'!B:B=F17),'26 WR'!C:C)</f>
        <v>Jared Goff</v>
      </c>
      <c r="E17" t="s">
        <v>67</v>
      </c>
      <c r="F17">
        <v>16</v>
      </c>
      <c r="G17">
        <f>VLOOKUP(B17,[2]FantasyPros_2025_Overall_ADP_Ra!$B$2:$E$416,4,FALSE)</f>
        <v>120</v>
      </c>
      <c r="H17">
        <v>27.9</v>
      </c>
      <c r="I17">
        <v>18.8</v>
      </c>
      <c r="J17">
        <v>15.6</v>
      </c>
      <c r="K17">
        <v>14.5</v>
      </c>
      <c r="L17">
        <v>15.6</v>
      </c>
      <c r="M17">
        <v>18.8</v>
      </c>
      <c r="N17">
        <v>29.9</v>
      </c>
      <c r="O17">
        <v>26.3</v>
      </c>
      <c r="P17">
        <v>28.7</v>
      </c>
      <c r="Q17">
        <v>14.7</v>
      </c>
      <c r="R17">
        <v>4.3</v>
      </c>
      <c r="S17">
        <v>0</v>
      </c>
      <c r="T17">
        <v>13.8</v>
      </c>
      <c r="U17">
        <v>13.2</v>
      </c>
      <c r="V17">
        <v>299.89999999999998</v>
      </c>
      <c r="W17">
        <v>18.7</v>
      </c>
      <c r="X17">
        <v>10</v>
      </c>
      <c r="Y17">
        <v>1</v>
      </c>
      <c r="Z17">
        <v>15</v>
      </c>
      <c r="AA17">
        <v>10</v>
      </c>
      <c r="AB17">
        <v>5</v>
      </c>
      <c r="AC17">
        <v>5</v>
      </c>
      <c r="AD17">
        <v>1</v>
      </c>
      <c r="AE17">
        <v>0.88235294117647056</v>
      </c>
      <c r="AF17">
        <v>0.625</v>
      </c>
      <c r="AG17">
        <v>0.3125</v>
      </c>
      <c r="AH17">
        <v>0.3125</v>
      </c>
      <c r="AI17">
        <v>6.25E-2</v>
      </c>
    </row>
    <row r="18" spans="1:35" x14ac:dyDescent="0.25">
      <c r="A18">
        <v>2025</v>
      </c>
      <c r="B18" t="s">
        <v>213</v>
      </c>
      <c r="C18" t="s">
        <v>31</v>
      </c>
      <c r="D18" t="str" cm="1">
        <f t="array" ref="D18">_xlfn.XLOOKUP(1,('26 WR'!A:A=E18)*('26 WR'!B:B=F18),'26 WR'!C:C)</f>
        <v>Kyler Murray</v>
      </c>
      <c r="E18" t="s">
        <v>67</v>
      </c>
      <c r="F18">
        <v>17</v>
      </c>
      <c r="G18">
        <f>VLOOKUP(B18,[2]FantasyPros_2025_Overall_ADP_Ra!$B$2:$E$416,4,FALSE)</f>
        <v>124</v>
      </c>
      <c r="H18">
        <v>23.2</v>
      </c>
      <c r="I18">
        <v>4.8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19.899999999999999</v>
      </c>
      <c r="Q18">
        <v>16.7</v>
      </c>
      <c r="R18">
        <v>8</v>
      </c>
      <c r="S18">
        <v>2.5</v>
      </c>
      <c r="T18">
        <v>0</v>
      </c>
      <c r="U18">
        <v>20.399999999999999</v>
      </c>
      <c r="V18">
        <v>137.4</v>
      </c>
      <c r="W18">
        <v>13.7</v>
      </c>
      <c r="X18">
        <v>10</v>
      </c>
      <c r="Y18">
        <v>1</v>
      </c>
      <c r="Z18">
        <v>5</v>
      </c>
      <c r="AA18">
        <v>5</v>
      </c>
      <c r="AB18">
        <v>3</v>
      </c>
      <c r="AC18">
        <v>0</v>
      </c>
      <c r="AD18">
        <v>0</v>
      </c>
      <c r="AE18">
        <v>0.29411764705882354</v>
      </c>
      <c r="AF18">
        <v>0.5</v>
      </c>
      <c r="AG18">
        <v>0.3</v>
      </c>
      <c r="AH18">
        <v>0</v>
      </c>
      <c r="AI18">
        <v>0</v>
      </c>
    </row>
    <row r="19" spans="1:35" x14ac:dyDescent="0.25">
      <c r="A19">
        <v>2025</v>
      </c>
      <c r="B19" t="s">
        <v>222</v>
      </c>
      <c r="C19" t="s">
        <v>39</v>
      </c>
      <c r="D19" t="str" cm="1">
        <f t="array" ref="D19">_xlfn.XLOOKUP(1,('26 WR'!A:A=E19)*('26 WR'!B:B=F19),'26 WR'!C:C)</f>
        <v>Jordan Love</v>
      </c>
      <c r="E19" t="s">
        <v>67</v>
      </c>
      <c r="F19">
        <v>18</v>
      </c>
      <c r="G19">
        <f>VLOOKUP(B19,[2]FantasyPros_2025_Overall_ADP_Ra!$B$2:$E$416,4,FALSE)</f>
        <v>127</v>
      </c>
      <c r="H19">
        <v>9.6999999999999993</v>
      </c>
      <c r="I19">
        <v>15</v>
      </c>
      <c r="J19">
        <v>12.4</v>
      </c>
      <c r="K19">
        <v>18.399999999999999</v>
      </c>
      <c r="L19">
        <v>28.8</v>
      </c>
      <c r="M19">
        <v>0</v>
      </c>
      <c r="N19">
        <v>14.7</v>
      </c>
      <c r="O19">
        <v>22.7</v>
      </c>
      <c r="P19">
        <v>4.4000000000000004</v>
      </c>
      <c r="Q19">
        <v>0</v>
      </c>
      <c r="R19">
        <v>0</v>
      </c>
      <c r="S19">
        <v>0</v>
      </c>
      <c r="T19">
        <v>10</v>
      </c>
      <c r="U19">
        <v>12.6</v>
      </c>
      <c r="V19">
        <v>216.5</v>
      </c>
      <c r="W19">
        <v>15.5</v>
      </c>
      <c r="X19">
        <v>11</v>
      </c>
      <c r="Y19">
        <v>1</v>
      </c>
      <c r="Z19">
        <v>11</v>
      </c>
      <c r="AA19">
        <v>6</v>
      </c>
      <c r="AB19">
        <v>3</v>
      </c>
      <c r="AC19">
        <v>1</v>
      </c>
      <c r="AD19">
        <v>0</v>
      </c>
      <c r="AE19">
        <v>0.6470588235294118</v>
      </c>
      <c r="AF19">
        <v>0.42857142857142855</v>
      </c>
      <c r="AG19">
        <v>0.21428571428571427</v>
      </c>
      <c r="AH19">
        <v>7.1428571428571425E-2</v>
      </c>
      <c r="AI19">
        <v>0</v>
      </c>
    </row>
    <row r="20" spans="1:35" x14ac:dyDescent="0.25">
      <c r="A20">
        <v>2025</v>
      </c>
      <c r="B20" t="s">
        <v>235</v>
      </c>
      <c r="C20" t="s">
        <v>61</v>
      </c>
      <c r="D20" t="str" cm="1">
        <f t="array" ref="D20">_xlfn.XLOOKUP(1,('26 WR'!A:A=E20)*('26 WR'!B:B=F20),'26 WR'!C:C)</f>
        <v>Baker Mayfield</v>
      </c>
      <c r="E20" t="s">
        <v>67</v>
      </c>
      <c r="F20">
        <v>19</v>
      </c>
      <c r="G20">
        <f>VLOOKUP(B20,[2]FantasyPros_2025_Overall_ADP_Ra!$B$2:$E$416,4,FALSE)</f>
        <v>129</v>
      </c>
      <c r="H20">
        <v>15.9</v>
      </c>
      <c r="I20">
        <v>20.9</v>
      </c>
      <c r="J20">
        <v>12.1</v>
      </c>
      <c r="K20">
        <v>26.3</v>
      </c>
      <c r="L20">
        <v>0</v>
      </c>
      <c r="M20">
        <v>16</v>
      </c>
      <c r="N20">
        <v>13.4</v>
      </c>
      <c r="O20">
        <v>28.3</v>
      </c>
      <c r="P20">
        <v>10</v>
      </c>
      <c r="Q20">
        <v>7.8</v>
      </c>
      <c r="R20">
        <v>17.7</v>
      </c>
      <c r="S20">
        <v>7.1</v>
      </c>
      <c r="T20">
        <v>25.8</v>
      </c>
      <c r="U20">
        <v>20.3</v>
      </c>
      <c r="V20">
        <v>241.1</v>
      </c>
      <c r="W20">
        <v>16.100000000000001</v>
      </c>
      <c r="X20">
        <v>15</v>
      </c>
      <c r="Y20">
        <v>1</v>
      </c>
      <c r="Z20">
        <v>11</v>
      </c>
      <c r="AA20">
        <v>9</v>
      </c>
      <c r="AB20">
        <v>5</v>
      </c>
      <c r="AC20">
        <v>3</v>
      </c>
      <c r="AD20">
        <v>0</v>
      </c>
      <c r="AE20">
        <v>0.6470588235294118</v>
      </c>
      <c r="AF20">
        <v>0.6</v>
      </c>
      <c r="AG20">
        <v>0.33333333333333331</v>
      </c>
      <c r="AH20">
        <v>0.2</v>
      </c>
      <c r="AI20">
        <v>0</v>
      </c>
    </row>
    <row r="21" spans="1:35" x14ac:dyDescent="0.25">
      <c r="A21">
        <v>2025</v>
      </c>
      <c r="B21" t="s">
        <v>287</v>
      </c>
      <c r="C21" t="s">
        <v>51</v>
      </c>
      <c r="D21" t="str" cm="1">
        <f t="array" ref="D21">_xlfn.XLOOKUP(1,('26 WR'!A:A=E21)*('26 WR'!B:B=F21),'26 WR'!C:C)</f>
        <v>Tyler Shough</v>
      </c>
      <c r="E21" t="s">
        <v>67</v>
      </c>
      <c r="F21">
        <v>20</v>
      </c>
      <c r="G21">
        <f>VLOOKUP(B21,[2]FantasyPros_2025_Overall_ADP_Ra!$B$2:$E$416,4,FALSE)</f>
        <v>132</v>
      </c>
      <c r="H21">
        <v>11.3</v>
      </c>
      <c r="I21">
        <v>21.2</v>
      </c>
      <c r="J21">
        <v>8.8000000000000007</v>
      </c>
      <c r="K21">
        <v>11.7</v>
      </c>
      <c r="L21">
        <v>27.2</v>
      </c>
      <c r="M21">
        <v>19.2</v>
      </c>
      <c r="N21">
        <v>17.600000000000001</v>
      </c>
      <c r="O21">
        <v>0</v>
      </c>
      <c r="P21">
        <v>22.2</v>
      </c>
      <c r="Q21">
        <v>10.8</v>
      </c>
      <c r="R21">
        <v>16</v>
      </c>
      <c r="S21">
        <v>20.100000000000001</v>
      </c>
      <c r="T21">
        <v>21.7</v>
      </c>
      <c r="U21">
        <v>19.399999999999999</v>
      </c>
      <c r="V21">
        <v>350.2</v>
      </c>
      <c r="W21">
        <v>20.6</v>
      </c>
      <c r="X21">
        <v>4</v>
      </c>
      <c r="Y21">
        <v>1</v>
      </c>
      <c r="Z21">
        <v>16</v>
      </c>
      <c r="AA21">
        <v>13</v>
      </c>
      <c r="AB21">
        <v>9</v>
      </c>
      <c r="AC21">
        <v>3</v>
      </c>
      <c r="AD21">
        <v>2</v>
      </c>
      <c r="AE21">
        <v>0.94117647058823528</v>
      </c>
      <c r="AF21">
        <v>0.76470588235294112</v>
      </c>
      <c r="AG21">
        <v>0.52941176470588236</v>
      </c>
      <c r="AH21">
        <v>0.17647058823529413</v>
      </c>
      <c r="AI21">
        <v>0.11764705882352941</v>
      </c>
    </row>
    <row r="22" spans="1:35" x14ac:dyDescent="0.25">
      <c r="A22">
        <v>2025</v>
      </c>
      <c r="B22" t="s">
        <v>304</v>
      </c>
      <c r="C22" t="s">
        <v>24</v>
      </c>
      <c r="D22" t="str" cm="1">
        <f t="array" ref="D22">_xlfn.XLOOKUP(1,('26 WR'!A:A=E22)*('26 WR'!B:B=F22),'26 WR'!C:C)</f>
        <v>Malik Willis</v>
      </c>
      <c r="E22" t="s">
        <v>67</v>
      </c>
      <c r="F22">
        <v>21</v>
      </c>
      <c r="G22">
        <f>VLOOKUP(B22,[2]FantasyPros_2025_Overall_ADP_Ra!$B$2:$E$416,4,FALSE)</f>
        <v>137</v>
      </c>
      <c r="H22">
        <v>24</v>
      </c>
      <c r="I22">
        <v>5.3</v>
      </c>
      <c r="J22">
        <v>5.8</v>
      </c>
      <c r="K22">
        <v>19.7</v>
      </c>
      <c r="L22">
        <v>0</v>
      </c>
      <c r="M22">
        <v>14.6</v>
      </c>
      <c r="N22">
        <v>12.2</v>
      </c>
      <c r="O22">
        <v>0</v>
      </c>
      <c r="P22">
        <v>22.7</v>
      </c>
      <c r="Q22">
        <v>11</v>
      </c>
      <c r="R22">
        <v>7.9</v>
      </c>
      <c r="S22">
        <v>0</v>
      </c>
      <c r="T22">
        <v>0</v>
      </c>
      <c r="U22">
        <v>0</v>
      </c>
      <c r="V22">
        <v>123.3</v>
      </c>
      <c r="W22">
        <v>13.7</v>
      </c>
      <c r="X22">
        <v>33</v>
      </c>
      <c r="Y22">
        <v>1</v>
      </c>
      <c r="Z22">
        <v>6</v>
      </c>
      <c r="AA22">
        <v>3</v>
      </c>
      <c r="AB22">
        <v>2</v>
      </c>
      <c r="AC22">
        <v>0</v>
      </c>
      <c r="AD22">
        <v>0</v>
      </c>
      <c r="AE22">
        <v>0.35294117647058826</v>
      </c>
      <c r="AF22">
        <v>0.33333333333333331</v>
      </c>
      <c r="AG22">
        <v>0.22222222222222221</v>
      </c>
      <c r="AH22">
        <v>0</v>
      </c>
      <c r="AI22">
        <v>0</v>
      </c>
    </row>
    <row r="23" spans="1:35" x14ac:dyDescent="0.25">
      <c r="A23">
        <v>2025</v>
      </c>
      <c r="B23" t="s">
        <v>183</v>
      </c>
      <c r="C23" t="s">
        <v>59</v>
      </c>
      <c r="D23" t="str" cm="1">
        <f t="array" ref="D23">_xlfn.XLOOKUP(1,('26 WR'!A:A=E23)*('26 WR'!B:B=F23),'26 WR'!C:C)</f>
        <v>C.J. Stroud</v>
      </c>
      <c r="E23" t="s">
        <v>67</v>
      </c>
      <c r="F23">
        <v>22</v>
      </c>
      <c r="G23">
        <f>VLOOKUP(B23,[2]FantasyPros_2025_Overall_ADP_Ra!$B$2:$E$416,4,FALSE)</f>
        <v>146</v>
      </c>
      <c r="H23">
        <v>7.3</v>
      </c>
      <c r="I23">
        <v>19.600000000000001</v>
      </c>
      <c r="J23">
        <v>13.8</v>
      </c>
      <c r="K23">
        <v>15.7</v>
      </c>
      <c r="L23">
        <v>22.7</v>
      </c>
      <c r="M23">
        <v>9.6</v>
      </c>
      <c r="N23">
        <v>1.6</v>
      </c>
      <c r="O23">
        <v>24.2</v>
      </c>
      <c r="P23">
        <v>9.5</v>
      </c>
      <c r="Q23">
        <v>12.8</v>
      </c>
      <c r="R23">
        <v>6.8</v>
      </c>
      <c r="S23">
        <v>0</v>
      </c>
      <c r="T23">
        <v>5.7</v>
      </c>
      <c r="U23">
        <v>9.1</v>
      </c>
      <c r="V23">
        <v>175.7</v>
      </c>
      <c r="W23">
        <v>12.6</v>
      </c>
      <c r="X23">
        <v>16</v>
      </c>
      <c r="Y23">
        <v>1</v>
      </c>
      <c r="Z23">
        <v>7</v>
      </c>
      <c r="AA23">
        <v>5</v>
      </c>
      <c r="AB23">
        <v>2</v>
      </c>
      <c r="AC23">
        <v>0</v>
      </c>
      <c r="AD23">
        <v>0</v>
      </c>
      <c r="AE23">
        <v>0.41176470588235292</v>
      </c>
      <c r="AF23">
        <v>0.35714285714285715</v>
      </c>
      <c r="AG23">
        <v>0.14285714285714285</v>
      </c>
      <c r="AH23">
        <v>0</v>
      </c>
      <c r="AI23">
        <v>0</v>
      </c>
    </row>
    <row r="24" spans="1:35" x14ac:dyDescent="0.25">
      <c r="A24">
        <v>2025</v>
      </c>
      <c r="B24" t="s">
        <v>188</v>
      </c>
      <c r="C24" t="s">
        <v>92</v>
      </c>
      <c r="D24" t="str" cm="1">
        <f t="array" ref="D24">_xlfn.XLOOKUP(1,('26 WR'!A:A=E24)*('26 WR'!B:B=F24),'26 WR'!C:C)</f>
        <v>Sam Darnold</v>
      </c>
      <c r="E24" t="s">
        <v>67</v>
      </c>
      <c r="F24">
        <v>23</v>
      </c>
      <c r="G24">
        <f>VLOOKUP(B24,[2]FantasyPros_2025_Overall_ADP_Ra!$B$2:$E$416,4,FALSE)</f>
        <v>149</v>
      </c>
      <c r="H24">
        <v>10.199999999999999</v>
      </c>
      <c r="I24">
        <v>22.3</v>
      </c>
      <c r="J24">
        <v>11.6</v>
      </c>
      <c r="K24">
        <v>10.3</v>
      </c>
      <c r="L24">
        <v>13</v>
      </c>
      <c r="M24">
        <v>19.5</v>
      </c>
      <c r="N24">
        <v>10.5</v>
      </c>
      <c r="O24">
        <v>0</v>
      </c>
      <c r="P24">
        <v>4</v>
      </c>
      <c r="Q24">
        <v>2.6</v>
      </c>
      <c r="R24">
        <v>31.8</v>
      </c>
      <c r="S24">
        <v>10.3</v>
      </c>
      <c r="T24">
        <v>22.5</v>
      </c>
      <c r="U24">
        <v>0</v>
      </c>
      <c r="V24">
        <v>229</v>
      </c>
      <c r="W24">
        <v>14.3</v>
      </c>
      <c r="X24">
        <v>19</v>
      </c>
      <c r="Y24">
        <v>1</v>
      </c>
      <c r="Z24">
        <v>13</v>
      </c>
      <c r="AA24">
        <v>7</v>
      </c>
      <c r="AB24">
        <v>3</v>
      </c>
      <c r="AC24">
        <v>1</v>
      </c>
      <c r="AD24">
        <v>1</v>
      </c>
      <c r="AE24">
        <v>0.76470588235294112</v>
      </c>
      <c r="AF24">
        <v>0.4375</v>
      </c>
      <c r="AG24">
        <v>0.1875</v>
      </c>
      <c r="AH24">
        <v>6.25E-2</v>
      </c>
      <c r="AI24">
        <v>6.25E-2</v>
      </c>
    </row>
    <row r="25" spans="1:35" x14ac:dyDescent="0.25">
      <c r="A25">
        <v>2025</v>
      </c>
      <c r="B25" t="s">
        <v>191</v>
      </c>
      <c r="C25" t="s">
        <v>114</v>
      </c>
      <c r="D25" t="str" cm="1">
        <f t="array" ref="D25">_xlfn.XLOOKUP(1,('26 WR'!A:A=E25)*('26 WR'!B:B=F25),'26 WR'!C:C)</f>
        <v>Cam Ward</v>
      </c>
      <c r="E25" t="s">
        <v>67</v>
      </c>
      <c r="F25">
        <v>24</v>
      </c>
      <c r="G25">
        <f>VLOOKUP(B25,[2]FantasyPros_2025_Overall_ADP_Ra!$B$2:$E$416,4,FALSE)</f>
        <v>152</v>
      </c>
      <c r="H25">
        <v>2.5</v>
      </c>
      <c r="I25">
        <v>9.8000000000000007</v>
      </c>
      <c r="J25">
        <v>13</v>
      </c>
      <c r="K25">
        <v>5.5</v>
      </c>
      <c r="L25">
        <v>9</v>
      </c>
      <c r="M25">
        <v>7.9</v>
      </c>
      <c r="N25">
        <v>11.2</v>
      </c>
      <c r="O25">
        <v>13.8</v>
      </c>
      <c r="P25">
        <v>6.4</v>
      </c>
      <c r="Q25">
        <v>0</v>
      </c>
      <c r="R25">
        <v>13.1</v>
      </c>
      <c r="S25">
        <v>23.9</v>
      </c>
      <c r="T25">
        <v>6.3</v>
      </c>
      <c r="U25">
        <v>12.1</v>
      </c>
      <c r="V25">
        <v>193.7</v>
      </c>
      <c r="W25">
        <v>11.4</v>
      </c>
      <c r="X25">
        <v>15</v>
      </c>
      <c r="Y25">
        <v>1</v>
      </c>
      <c r="Z25">
        <v>9</v>
      </c>
      <c r="AA25">
        <v>3</v>
      </c>
      <c r="AB25">
        <v>1</v>
      </c>
      <c r="AC25">
        <v>0</v>
      </c>
      <c r="AD25">
        <v>0</v>
      </c>
      <c r="AE25">
        <v>0.52941176470588236</v>
      </c>
      <c r="AF25">
        <v>0.17647058823529413</v>
      </c>
      <c r="AG25">
        <v>5.8823529411764705E-2</v>
      </c>
      <c r="AH25">
        <v>0</v>
      </c>
      <c r="AI25">
        <v>0</v>
      </c>
    </row>
    <row r="26" spans="1:35" x14ac:dyDescent="0.25">
      <c r="A26">
        <v>2025</v>
      </c>
      <c r="B26" t="s">
        <v>196</v>
      </c>
      <c r="C26" t="s">
        <v>29</v>
      </c>
      <c r="D26" t="str" cm="1">
        <f t="array" ref="D26">_xlfn.XLOOKUP(1,('26 WR'!A:A=E26)*('26 WR'!B:B=F26),'26 WR'!C:C)</f>
        <v>Daniel Jones</v>
      </c>
      <c r="E26" t="s">
        <v>67</v>
      </c>
      <c r="F26">
        <v>25</v>
      </c>
      <c r="G26">
        <f>VLOOKUP(B26,[2]FantasyPros_2025_Overall_ADP_Ra!$B$2:$E$416,4,FALSE)</f>
        <v>159</v>
      </c>
      <c r="H26">
        <v>18.5</v>
      </c>
      <c r="I26">
        <v>6.2</v>
      </c>
      <c r="J26">
        <v>26.1</v>
      </c>
      <c r="K26">
        <v>12.8</v>
      </c>
      <c r="L26">
        <v>7.9</v>
      </c>
      <c r="M26">
        <v>9.6999999999999993</v>
      </c>
      <c r="N26">
        <v>2.8</v>
      </c>
      <c r="O26">
        <v>0</v>
      </c>
      <c r="P26">
        <v>27.3</v>
      </c>
      <c r="Q26">
        <v>5.4</v>
      </c>
      <c r="R26">
        <v>13.9</v>
      </c>
      <c r="S26">
        <v>14.2</v>
      </c>
      <c r="T26">
        <v>13</v>
      </c>
      <c r="U26">
        <v>9</v>
      </c>
      <c r="V26">
        <v>190.9</v>
      </c>
      <c r="W26">
        <v>12.7</v>
      </c>
      <c r="X26">
        <v>15</v>
      </c>
      <c r="Y26">
        <v>1</v>
      </c>
      <c r="Z26">
        <v>8</v>
      </c>
      <c r="AA26">
        <v>3</v>
      </c>
      <c r="AB26">
        <v>2</v>
      </c>
      <c r="AC26">
        <v>2</v>
      </c>
      <c r="AD26">
        <v>0</v>
      </c>
      <c r="AE26">
        <v>0.47058823529411764</v>
      </c>
      <c r="AF26">
        <v>0.2</v>
      </c>
      <c r="AG26">
        <v>0.13333333333333333</v>
      </c>
      <c r="AH26">
        <v>0.13333333333333333</v>
      </c>
      <c r="AI26">
        <v>0</v>
      </c>
    </row>
    <row r="27" spans="1:35" x14ac:dyDescent="0.25">
      <c r="A27">
        <v>2025</v>
      </c>
      <c r="B27" t="s">
        <v>202</v>
      </c>
      <c r="C27" t="s">
        <v>49</v>
      </c>
      <c r="D27" t="str" cm="1">
        <f t="array" ref="D27">_xlfn.XLOOKUP(1,('26 WR'!A:A=E27)*('26 WR'!B:B=F27),'26 WR'!C:C)</f>
        <v>Bryce Young</v>
      </c>
      <c r="E27" t="s">
        <v>67</v>
      </c>
      <c r="F27">
        <v>26</v>
      </c>
      <c r="G27">
        <f>VLOOKUP(B27,[2]FantasyPros_2025_Overall_ADP_Ra!$B$2:$E$416,4,FALSE)</f>
        <v>164</v>
      </c>
      <c r="H27">
        <v>13.6</v>
      </c>
      <c r="I27">
        <v>18.3</v>
      </c>
      <c r="J27">
        <v>14.8</v>
      </c>
      <c r="K27">
        <v>27.4</v>
      </c>
      <c r="L27">
        <v>25.6</v>
      </c>
      <c r="M27">
        <v>9.3000000000000007</v>
      </c>
      <c r="N27">
        <v>27.4</v>
      </c>
      <c r="O27">
        <v>0</v>
      </c>
      <c r="P27">
        <v>26.8</v>
      </c>
      <c r="Q27">
        <v>26.9</v>
      </c>
      <c r="R27">
        <v>13.2</v>
      </c>
      <c r="S27">
        <v>22.9</v>
      </c>
      <c r="T27">
        <v>13.6</v>
      </c>
      <c r="U27">
        <v>23.2</v>
      </c>
      <c r="V27">
        <v>358.4</v>
      </c>
      <c r="W27">
        <v>21.1</v>
      </c>
      <c r="X27">
        <v>3</v>
      </c>
      <c r="Y27">
        <v>1</v>
      </c>
      <c r="Z27">
        <v>16</v>
      </c>
      <c r="AA27">
        <v>12</v>
      </c>
      <c r="AB27">
        <v>10</v>
      </c>
      <c r="AC27">
        <v>7</v>
      </c>
      <c r="AD27">
        <v>1</v>
      </c>
      <c r="AE27">
        <v>0.94117647058823528</v>
      </c>
      <c r="AF27">
        <v>0.70588235294117652</v>
      </c>
      <c r="AG27">
        <v>0.58823529411764708</v>
      </c>
      <c r="AH27">
        <v>0.41176470588235292</v>
      </c>
      <c r="AI27">
        <v>5.8823529411764705E-2</v>
      </c>
    </row>
    <row r="28" spans="1:35" x14ac:dyDescent="0.25">
      <c r="A28">
        <v>2025</v>
      </c>
      <c r="B28" t="s">
        <v>205</v>
      </c>
      <c r="C28" t="s">
        <v>74</v>
      </c>
      <c r="D28" t="str" cm="1">
        <f t="array" ref="D28">_xlfn.XLOOKUP(1,('26 WR'!A:A=E28)*('26 WR'!B:B=F28),'26 WR'!C:C)</f>
        <v>Jacoby Brissett</v>
      </c>
      <c r="E28" t="s">
        <v>67</v>
      </c>
      <c r="F28">
        <v>27</v>
      </c>
      <c r="G28">
        <f>VLOOKUP(B28,[2]FantasyPros_2025_Overall_ADP_Ra!$B$2:$E$416,4,FALSE)</f>
        <v>167</v>
      </c>
      <c r="H28">
        <v>5.4</v>
      </c>
      <c r="I28">
        <v>17.8</v>
      </c>
      <c r="J28">
        <v>16.7</v>
      </c>
      <c r="K28">
        <v>16.100000000000001</v>
      </c>
      <c r="L28">
        <v>28.6</v>
      </c>
      <c r="M28">
        <v>20</v>
      </c>
      <c r="N28">
        <v>9.6</v>
      </c>
      <c r="O28">
        <v>0</v>
      </c>
      <c r="P28">
        <v>28.2</v>
      </c>
      <c r="Q28">
        <v>5.9</v>
      </c>
      <c r="R28">
        <v>8.3000000000000007</v>
      </c>
      <c r="S28">
        <v>17.7</v>
      </c>
      <c r="T28">
        <v>3.1</v>
      </c>
      <c r="U28">
        <v>23.3</v>
      </c>
      <c r="V28">
        <v>249.4</v>
      </c>
      <c r="W28">
        <v>14.7</v>
      </c>
      <c r="X28">
        <v>13</v>
      </c>
      <c r="Y28">
        <v>1</v>
      </c>
      <c r="Z28">
        <v>10</v>
      </c>
      <c r="AA28">
        <v>9</v>
      </c>
      <c r="AB28">
        <v>4</v>
      </c>
      <c r="AC28">
        <v>2</v>
      </c>
      <c r="AD28">
        <v>0</v>
      </c>
      <c r="AE28">
        <v>0.58823529411764708</v>
      </c>
      <c r="AF28">
        <v>0.52941176470588236</v>
      </c>
      <c r="AG28">
        <v>0.23529411764705882</v>
      </c>
      <c r="AH28">
        <v>0.11764705882352941</v>
      </c>
      <c r="AI28">
        <v>0</v>
      </c>
    </row>
    <row r="29" spans="1:35" x14ac:dyDescent="0.25">
      <c r="A29">
        <v>2025</v>
      </c>
      <c r="B29" t="s">
        <v>219</v>
      </c>
      <c r="C29" t="s">
        <v>108</v>
      </c>
      <c r="D29" t="str" cm="1">
        <f t="array" ref="D29">_xlfn.XLOOKUP(1,('26 WR'!A:A=E29)*('26 WR'!B:B=F29),'26 WR'!C:C)</f>
        <v>Geno Smith</v>
      </c>
      <c r="E29" t="s">
        <v>67</v>
      </c>
      <c r="F29">
        <v>28</v>
      </c>
      <c r="G29">
        <f>VLOOKUP(B29,[2]FantasyPros_2025_Overall_ADP_Ra!$B$2:$E$416,4,FALSE)</f>
        <v>179</v>
      </c>
      <c r="H29">
        <v>25.7</v>
      </c>
      <c r="I29">
        <v>12.4</v>
      </c>
      <c r="J29">
        <v>12.7</v>
      </c>
      <c r="K29">
        <v>12.8</v>
      </c>
      <c r="L29">
        <v>0</v>
      </c>
      <c r="M29">
        <v>17.5</v>
      </c>
      <c r="N29">
        <v>24.6</v>
      </c>
      <c r="O29">
        <v>16.8</v>
      </c>
      <c r="P29">
        <v>12.1</v>
      </c>
      <c r="Q29">
        <v>8.4</v>
      </c>
      <c r="R29">
        <v>9.4</v>
      </c>
      <c r="S29">
        <v>0</v>
      </c>
      <c r="T29">
        <v>2.7</v>
      </c>
      <c r="U29">
        <v>20.5</v>
      </c>
      <c r="V29">
        <v>233.1</v>
      </c>
      <c r="W29">
        <v>14.6</v>
      </c>
      <c r="X29">
        <v>18</v>
      </c>
      <c r="Y29">
        <v>1</v>
      </c>
      <c r="Z29">
        <v>12</v>
      </c>
      <c r="AA29">
        <v>8</v>
      </c>
      <c r="AB29">
        <v>3</v>
      </c>
      <c r="AC29">
        <v>1</v>
      </c>
      <c r="AD29">
        <v>0</v>
      </c>
      <c r="AE29">
        <v>0.70588235294117652</v>
      </c>
      <c r="AF29">
        <v>0.5</v>
      </c>
      <c r="AG29">
        <v>0.1875</v>
      </c>
      <c r="AH29">
        <v>6.25E-2</v>
      </c>
      <c r="AI29">
        <v>0</v>
      </c>
    </row>
    <row r="30" spans="1:35" x14ac:dyDescent="0.25">
      <c r="A30">
        <v>2025</v>
      </c>
      <c r="B30" t="s">
        <v>232</v>
      </c>
      <c r="C30" t="s">
        <v>55</v>
      </c>
      <c r="D30" t="str" cm="1">
        <f t="array" ref="D30">_xlfn.XLOOKUP(1,('26 WR'!A:A=E30)*('26 WR'!B:B=F30),'26 WR'!C:C)</f>
        <v>Aaron Rodgers</v>
      </c>
      <c r="E30" t="s">
        <v>67</v>
      </c>
      <c r="F30">
        <v>29</v>
      </c>
      <c r="G30">
        <f>VLOOKUP(B30,[2]FantasyPros_2025_Overall_ADP_Ra!$B$2:$E$416,4,FALSE)</f>
        <v>189</v>
      </c>
      <c r="H30">
        <v>29.5</v>
      </c>
      <c r="I30">
        <v>22.8</v>
      </c>
      <c r="J30">
        <v>15.8</v>
      </c>
      <c r="K30">
        <v>12.4</v>
      </c>
      <c r="L30">
        <v>16.7</v>
      </c>
      <c r="M30">
        <v>23.5</v>
      </c>
      <c r="N30">
        <v>22.2</v>
      </c>
      <c r="O30">
        <v>23.2</v>
      </c>
      <c r="P30">
        <v>17.100000000000001</v>
      </c>
      <c r="Q30">
        <v>16.5</v>
      </c>
      <c r="R30">
        <v>0</v>
      </c>
      <c r="S30">
        <v>16.8</v>
      </c>
      <c r="T30">
        <v>16.100000000000001</v>
      </c>
      <c r="U30">
        <v>1.8</v>
      </c>
      <c r="V30">
        <v>234.4</v>
      </c>
      <c r="W30">
        <v>18</v>
      </c>
      <c r="X30">
        <v>17</v>
      </c>
      <c r="Y30">
        <v>1</v>
      </c>
      <c r="Z30">
        <v>12</v>
      </c>
      <c r="AA30">
        <v>11</v>
      </c>
      <c r="AB30">
        <v>5</v>
      </c>
      <c r="AC30">
        <v>1</v>
      </c>
      <c r="AD30">
        <v>0</v>
      </c>
      <c r="AE30">
        <v>0.70588235294117652</v>
      </c>
      <c r="AF30">
        <v>0.84615384615384615</v>
      </c>
      <c r="AG30">
        <v>0.38461538461538464</v>
      </c>
      <c r="AH30">
        <v>7.6923076923076927E-2</v>
      </c>
      <c r="AI30">
        <v>0</v>
      </c>
    </row>
    <row r="31" spans="1:35" x14ac:dyDescent="0.25">
      <c r="A31">
        <v>2025</v>
      </c>
      <c r="B31" t="s">
        <v>234</v>
      </c>
      <c r="C31" t="s">
        <v>43</v>
      </c>
      <c r="D31" t="str" cm="1">
        <f t="array" ref="D31">_xlfn.XLOOKUP(1,('26 WR'!A:A=E31)*('26 WR'!B:B=F31),'26 WR'!C:C)</f>
        <v>Fernando Mendoza</v>
      </c>
      <c r="E31" t="s">
        <v>67</v>
      </c>
      <c r="F31">
        <v>30</v>
      </c>
      <c r="G31">
        <f>VLOOKUP(B31,[2]FantasyPros_2025_Overall_ADP_Ra!$B$2:$E$416,4,FALSE)</f>
        <v>191</v>
      </c>
      <c r="H31">
        <v>0</v>
      </c>
      <c r="I31">
        <v>0.3</v>
      </c>
      <c r="J31">
        <v>0.3</v>
      </c>
      <c r="K31">
        <v>19.8</v>
      </c>
      <c r="L31">
        <v>17.600000000000001</v>
      </c>
      <c r="M31">
        <v>23.6</v>
      </c>
      <c r="N31">
        <v>29.4</v>
      </c>
      <c r="O31">
        <v>19.399999999999999</v>
      </c>
      <c r="P31">
        <v>27.2</v>
      </c>
      <c r="Q31">
        <v>26.3</v>
      </c>
      <c r="R31">
        <v>0</v>
      </c>
      <c r="S31">
        <v>0</v>
      </c>
      <c r="T31">
        <v>13.6</v>
      </c>
      <c r="U31">
        <v>0</v>
      </c>
      <c r="V31">
        <v>246.6</v>
      </c>
      <c r="W31">
        <v>17.600000000000001</v>
      </c>
      <c r="X31">
        <v>14</v>
      </c>
      <c r="Y31">
        <v>1</v>
      </c>
      <c r="Z31">
        <v>11</v>
      </c>
      <c r="AA31">
        <v>10</v>
      </c>
      <c r="AB31">
        <v>7</v>
      </c>
      <c r="AC31">
        <v>4</v>
      </c>
      <c r="AD31">
        <v>0</v>
      </c>
      <c r="AE31">
        <v>0.6470588235294118</v>
      </c>
      <c r="AF31">
        <v>0.7142857142857143</v>
      </c>
      <c r="AG31">
        <v>0.5</v>
      </c>
      <c r="AH31">
        <v>0.2857142857142857</v>
      </c>
      <c r="AI31">
        <v>0</v>
      </c>
    </row>
    <row r="32" spans="1:35" x14ac:dyDescent="0.25">
      <c r="A32">
        <v>2025</v>
      </c>
      <c r="B32" t="s">
        <v>249</v>
      </c>
      <c r="C32" t="s">
        <v>43</v>
      </c>
      <c r="D32" t="str" cm="1">
        <f t="array" ref="D32">_xlfn.XLOOKUP(1,('26 WR'!A:A=E32)*('26 WR'!B:B=F32),'26 WR'!C:C)</f>
        <v>Michael Penix Jr.</v>
      </c>
      <c r="E32" t="s">
        <v>67</v>
      </c>
      <c r="F32">
        <v>31</v>
      </c>
      <c r="G32">
        <f>VLOOKUP(B32,[2]FantasyPros_2025_Overall_ADP_Ra!$B$2:$E$416,4,FALSE)</f>
        <v>208</v>
      </c>
      <c r="H32">
        <v>11.1</v>
      </c>
      <c r="I32">
        <v>31.3</v>
      </c>
      <c r="J32">
        <v>7.1</v>
      </c>
      <c r="K32">
        <v>0.3</v>
      </c>
      <c r="L32">
        <v>0</v>
      </c>
      <c r="M32">
        <v>0</v>
      </c>
      <c r="N32">
        <v>0</v>
      </c>
      <c r="O32">
        <v>0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  <c r="V32">
        <v>52.8</v>
      </c>
      <c r="W32">
        <v>8.8000000000000007</v>
      </c>
      <c r="X32">
        <v>44</v>
      </c>
      <c r="Y32">
        <v>1</v>
      </c>
      <c r="Z32">
        <v>2</v>
      </c>
      <c r="AA32">
        <v>1</v>
      </c>
      <c r="AB32">
        <v>1</v>
      </c>
      <c r="AC32">
        <v>1</v>
      </c>
      <c r="AD32">
        <v>1</v>
      </c>
      <c r="AE32">
        <v>0.11764705882352941</v>
      </c>
      <c r="AF32">
        <v>0.16666666666666666</v>
      </c>
      <c r="AG32">
        <v>0.16666666666666666</v>
      </c>
      <c r="AH32">
        <v>0.16666666666666666</v>
      </c>
      <c r="AI32">
        <v>0.16666666666666666</v>
      </c>
    </row>
    <row r="33" spans="1:35" x14ac:dyDescent="0.25">
      <c r="A33">
        <v>2025</v>
      </c>
      <c r="B33" t="s">
        <v>251</v>
      </c>
      <c r="C33" t="s">
        <v>21</v>
      </c>
      <c r="D33" t="str" cm="1">
        <f t="array" ref="D33">_xlfn.XLOOKUP(1,('26 WR'!A:A=E33)*('26 WR'!B:B=F33),'26 WR'!C:C)</f>
        <v>Tua Tagovailoa</v>
      </c>
      <c r="E33" t="s">
        <v>67</v>
      </c>
      <c r="F33">
        <v>32</v>
      </c>
      <c r="G33">
        <f>VLOOKUP(B33,[2]FantasyPros_2025_Overall_ADP_Ra!$B$2:$E$416,4,FALSE)</f>
        <v>211</v>
      </c>
      <c r="H33">
        <v>14.2</v>
      </c>
      <c r="I33">
        <v>9.8000000000000007</v>
      </c>
      <c r="J33">
        <v>4.7</v>
      </c>
      <c r="K33">
        <v>3.3</v>
      </c>
      <c r="L33">
        <v>0</v>
      </c>
      <c r="M33">
        <v>18.8</v>
      </c>
      <c r="N33">
        <v>26</v>
      </c>
      <c r="O33">
        <v>24.3</v>
      </c>
      <c r="P33">
        <v>32.700000000000003</v>
      </c>
      <c r="Q33">
        <v>0</v>
      </c>
      <c r="R33">
        <v>10.9</v>
      </c>
      <c r="S33">
        <v>10.6</v>
      </c>
      <c r="T33">
        <v>0</v>
      </c>
      <c r="U33">
        <v>0</v>
      </c>
      <c r="V33">
        <v>156.69999999999999</v>
      </c>
      <c r="W33">
        <v>12.1</v>
      </c>
      <c r="X33">
        <v>19</v>
      </c>
      <c r="Y33">
        <v>1</v>
      </c>
      <c r="Z33">
        <v>7</v>
      </c>
      <c r="AA33">
        <v>4</v>
      </c>
      <c r="AB33">
        <v>3</v>
      </c>
      <c r="AC33">
        <v>2</v>
      </c>
      <c r="AD33">
        <v>1</v>
      </c>
      <c r="AE33">
        <v>0.41176470588235292</v>
      </c>
      <c r="AF33">
        <v>0.30769230769230771</v>
      </c>
      <c r="AG33">
        <v>0.23076923076923078</v>
      </c>
      <c r="AH33">
        <v>0.15384615384615385</v>
      </c>
      <c r="AI33">
        <v>7.6923076923076927E-2</v>
      </c>
    </row>
    <row r="34" spans="1:35" x14ac:dyDescent="0.25">
      <c r="A34">
        <v>2025</v>
      </c>
      <c r="B34" t="s">
        <v>261</v>
      </c>
      <c r="C34" t="s">
        <v>96</v>
      </c>
      <c r="D34" t="str" cm="1">
        <f t="array" ref="D34">_xlfn.XLOOKUP(1,('26 WR'!A:A=E34)*('26 WR'!B:B=F34),'26 WR'!C:C)</f>
        <v>Shedeur Sanders</v>
      </c>
      <c r="E34" t="s">
        <v>67</v>
      </c>
      <c r="F34">
        <v>33</v>
      </c>
      <c r="G34">
        <f>VLOOKUP(B34,[2]FantasyPros_2025_Overall_ADP_Ra!$B$2:$E$416,4,FALSE)</f>
        <v>230</v>
      </c>
      <c r="H34">
        <v>11.5</v>
      </c>
      <c r="I34">
        <v>21.7</v>
      </c>
      <c r="J34">
        <v>12.7</v>
      </c>
      <c r="K34">
        <v>13.9</v>
      </c>
      <c r="L34">
        <v>15.1</v>
      </c>
      <c r="M34">
        <v>11.1</v>
      </c>
      <c r="N34">
        <v>13.5</v>
      </c>
      <c r="O34">
        <v>3.6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103.1</v>
      </c>
      <c r="W34">
        <v>11.5</v>
      </c>
      <c r="X34">
        <v>36</v>
      </c>
      <c r="Y34">
        <v>1</v>
      </c>
      <c r="Z34">
        <v>7</v>
      </c>
      <c r="AA34">
        <v>2</v>
      </c>
      <c r="AB34">
        <v>1</v>
      </c>
      <c r="AC34">
        <v>0</v>
      </c>
      <c r="AD34">
        <v>0</v>
      </c>
      <c r="AE34">
        <v>0.41176470588235292</v>
      </c>
      <c r="AF34">
        <v>0.22222222222222221</v>
      </c>
      <c r="AG34">
        <v>0.1111111111111111</v>
      </c>
      <c r="AH34">
        <v>0</v>
      </c>
      <c r="AI34">
        <v>0</v>
      </c>
    </row>
    <row r="35" spans="1:35" x14ac:dyDescent="0.25">
      <c r="A35">
        <v>2025</v>
      </c>
      <c r="B35" t="s">
        <v>278</v>
      </c>
      <c r="C35" t="s">
        <v>96</v>
      </c>
      <c r="D35" t="str" cm="1">
        <f t="array" ref="D35">_xlfn.XLOOKUP(1,('26 WR'!A:A=E35)*('26 WR'!B:B=F35),'26 WR'!C:C)</f>
        <v>Kirk Cousins</v>
      </c>
      <c r="E35" t="s">
        <v>67</v>
      </c>
      <c r="F35">
        <v>34</v>
      </c>
      <c r="G35">
        <f>VLOOKUP(B35,[2]FantasyPros_2025_Overall_ADP_Ra!$B$2:$E$416,4,FALSE)</f>
        <v>268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5.3</v>
      </c>
      <c r="P35">
        <v>10.199999999999999</v>
      </c>
      <c r="Q35">
        <v>19</v>
      </c>
      <c r="R35">
        <v>0</v>
      </c>
      <c r="S35">
        <v>8.9</v>
      </c>
      <c r="T35">
        <v>18.399999999999999</v>
      </c>
      <c r="U35">
        <v>22.3</v>
      </c>
      <c r="V35">
        <v>164</v>
      </c>
      <c r="W35">
        <v>14.9</v>
      </c>
      <c r="X35">
        <v>18</v>
      </c>
      <c r="Y35">
        <v>1</v>
      </c>
      <c r="Z35">
        <v>8</v>
      </c>
      <c r="AA35">
        <v>7</v>
      </c>
      <c r="AB35">
        <v>3</v>
      </c>
      <c r="AC35">
        <v>0</v>
      </c>
      <c r="AD35">
        <v>0</v>
      </c>
      <c r="AE35">
        <v>0.47058823529411764</v>
      </c>
      <c r="AF35">
        <v>0.63636363636363635</v>
      </c>
      <c r="AG35">
        <v>0.27272727272727271</v>
      </c>
      <c r="AH35">
        <v>0</v>
      </c>
      <c r="AI35">
        <v>0</v>
      </c>
    </row>
    <row r="36" spans="1:35" x14ac:dyDescent="0.25">
      <c r="A36">
        <v>2025</v>
      </c>
      <c r="B36" t="s">
        <v>309</v>
      </c>
      <c r="C36" t="s">
        <v>61</v>
      </c>
      <c r="D36" t="str" cm="1">
        <f t="array" ref="D36">_xlfn.XLOOKUP(1,('26 WR'!A:A=E36)*('26 WR'!B:B=F36),'26 WR'!C:C)</f>
        <v>Deshaun Watson</v>
      </c>
      <c r="E36" t="s">
        <v>67</v>
      </c>
      <c r="F36">
        <v>35</v>
      </c>
      <c r="G36">
        <f>VLOOKUP(B36,[2]FantasyPros_2025_Overall_ADP_Ra!$B$2:$E$416,4,FALSE)</f>
        <v>330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5.8</v>
      </c>
      <c r="S36">
        <v>0.6</v>
      </c>
      <c r="T36">
        <v>0</v>
      </c>
      <c r="U36">
        <v>0</v>
      </c>
      <c r="V36">
        <v>51.2</v>
      </c>
      <c r="W36">
        <v>12.8</v>
      </c>
      <c r="X36">
        <v>45</v>
      </c>
      <c r="Y36">
        <v>1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0.11764705882352941</v>
      </c>
      <c r="AF36">
        <v>0.25</v>
      </c>
      <c r="AG36">
        <v>0.25</v>
      </c>
      <c r="AH36">
        <v>0.25</v>
      </c>
      <c r="AI36">
        <v>0.25</v>
      </c>
    </row>
    <row r="37" spans="1:35" x14ac:dyDescent="0.25">
      <c r="A37">
        <v>2025</v>
      </c>
      <c r="B37" t="s">
        <v>312</v>
      </c>
      <c r="C37" t="s">
        <v>132</v>
      </c>
      <c r="D37" t="str" cm="1">
        <f t="array" ref="D37">_xlfn.XLOOKUP(1,('26 WR'!A:A=E37)*('26 WR'!B:B=F37),'26 WR'!C:C)</f>
        <v>J.J. McCarthy</v>
      </c>
      <c r="E37" t="s">
        <v>67</v>
      </c>
      <c r="F37">
        <v>36</v>
      </c>
      <c r="G37">
        <f>VLOOKUP(B37,[2]FantasyPros_2025_Overall_ADP_Ra!$B$2:$E$416,4,FALSE)</f>
        <v>338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2.5</v>
      </c>
      <c r="S37">
        <v>11.3</v>
      </c>
      <c r="T37">
        <v>10.6</v>
      </c>
      <c r="U37">
        <v>34.5</v>
      </c>
      <c r="V37">
        <v>94.9</v>
      </c>
      <c r="W37">
        <v>11.9</v>
      </c>
      <c r="X37">
        <v>37</v>
      </c>
      <c r="Y37">
        <v>1</v>
      </c>
      <c r="Z37">
        <v>5</v>
      </c>
      <c r="AA37">
        <v>1</v>
      </c>
      <c r="AB37">
        <v>1</v>
      </c>
      <c r="AC37">
        <v>1</v>
      </c>
      <c r="AD37">
        <v>1</v>
      </c>
      <c r="AE37">
        <v>0.29411764705882354</v>
      </c>
      <c r="AF37">
        <v>0.125</v>
      </c>
      <c r="AG37">
        <v>0.125</v>
      </c>
      <c r="AH37">
        <v>0.125</v>
      </c>
      <c r="AI37">
        <v>0.125</v>
      </c>
    </row>
    <row r="38" spans="1:35" x14ac:dyDescent="0.25">
      <c r="A38">
        <v>2025</v>
      </c>
      <c r="B38" t="s">
        <v>333</v>
      </c>
      <c r="C38" t="s">
        <v>24</v>
      </c>
      <c r="D38" t="str" cm="1">
        <f t="array" ref="D38">_xlfn.XLOOKUP(1,('26 WR'!A:A=E38)*('26 WR'!B:B=F38),'26 WR'!C:C)</f>
        <v>Mac Jones</v>
      </c>
      <c r="E38" t="s">
        <v>67</v>
      </c>
      <c r="F38">
        <v>37</v>
      </c>
      <c r="G38">
        <f>VLOOKUP(B38,[2]FantasyPros_2025_Overall_ADP_Ra!$B$2:$E$416,4,FALSE)</f>
        <v>379</v>
      </c>
      <c r="H38">
        <v>0</v>
      </c>
      <c r="I38">
        <v>0</v>
      </c>
      <c r="J38">
        <v>1.2</v>
      </c>
      <c r="K38">
        <v>0</v>
      </c>
      <c r="L38">
        <v>0</v>
      </c>
      <c r="M38">
        <v>0</v>
      </c>
      <c r="N38">
        <v>0</v>
      </c>
      <c r="O38">
        <v>7.1</v>
      </c>
      <c r="P38">
        <v>0</v>
      </c>
      <c r="Q38">
        <v>0</v>
      </c>
      <c r="R38">
        <v>2.1</v>
      </c>
      <c r="S38">
        <v>15.5</v>
      </c>
      <c r="T38">
        <v>13.4</v>
      </c>
      <c r="U38">
        <v>4.5</v>
      </c>
      <c r="V38">
        <v>108.5</v>
      </c>
      <c r="W38">
        <v>10.9</v>
      </c>
      <c r="X38">
        <v>35</v>
      </c>
      <c r="Y38">
        <v>1</v>
      </c>
      <c r="Z38">
        <v>5</v>
      </c>
      <c r="AA38">
        <v>3</v>
      </c>
      <c r="AB38">
        <v>1</v>
      </c>
      <c r="AC38">
        <v>1</v>
      </c>
      <c r="AD38">
        <v>0</v>
      </c>
      <c r="AE38">
        <v>0.29411764705882354</v>
      </c>
      <c r="AF38">
        <v>0.3</v>
      </c>
      <c r="AG38">
        <v>0.1</v>
      </c>
      <c r="AH38">
        <v>0.1</v>
      </c>
      <c r="AI38">
        <v>0</v>
      </c>
    </row>
    <row r="39" spans="1:35" x14ac:dyDescent="0.25">
      <c r="A39">
        <v>2025</v>
      </c>
      <c r="B39" t="s">
        <v>338</v>
      </c>
      <c r="C39" t="s">
        <v>132</v>
      </c>
      <c r="D39" t="str" cm="1">
        <f t="array" ref="D39">_xlfn.XLOOKUP(1,('26 WR'!A:A=E39)*('26 WR'!B:B=F39),'26 WR'!C:C)</f>
        <v>Carson Beck</v>
      </c>
      <c r="E39" t="s">
        <v>67</v>
      </c>
      <c r="F39">
        <v>38</v>
      </c>
      <c r="G39">
        <f>VLOOKUP(B39,[2]FantasyPros_2025_Overall_ADP_Ra!$B$2:$E$416,4,FALSE)</f>
        <v>397</v>
      </c>
      <c r="H39">
        <v>0</v>
      </c>
      <c r="I39">
        <v>4.8</v>
      </c>
      <c r="J39">
        <v>0</v>
      </c>
      <c r="K39">
        <v>0</v>
      </c>
      <c r="L39">
        <v>16.100000000000001</v>
      </c>
      <c r="M39">
        <v>8.8000000000000007</v>
      </c>
      <c r="N39">
        <v>5.8</v>
      </c>
      <c r="O39">
        <v>13.5</v>
      </c>
      <c r="P39">
        <v>0</v>
      </c>
      <c r="Q39">
        <v>20.100000000000001</v>
      </c>
      <c r="R39">
        <v>2.9</v>
      </c>
      <c r="S39">
        <v>0</v>
      </c>
      <c r="T39">
        <v>0</v>
      </c>
      <c r="U39">
        <v>0</v>
      </c>
      <c r="V39">
        <v>72.099999999999994</v>
      </c>
      <c r="W39">
        <v>7.2</v>
      </c>
      <c r="X39">
        <v>40</v>
      </c>
      <c r="Y39">
        <v>1</v>
      </c>
      <c r="Z39">
        <v>3</v>
      </c>
      <c r="AA39">
        <v>2</v>
      </c>
      <c r="AB39">
        <v>1</v>
      </c>
      <c r="AC39">
        <v>0</v>
      </c>
      <c r="AD39">
        <v>0</v>
      </c>
      <c r="AE39">
        <v>0.17647058823529413</v>
      </c>
      <c r="AF39">
        <v>0.2</v>
      </c>
      <c r="AG39">
        <v>0.1</v>
      </c>
      <c r="AH39">
        <v>0</v>
      </c>
      <c r="AI39">
        <v>0</v>
      </c>
    </row>
    <row r="40" spans="1:35" x14ac:dyDescent="0.25">
      <c r="A40">
        <v>2025</v>
      </c>
      <c r="B40" t="s">
        <v>351</v>
      </c>
      <c r="C40" t="s">
        <v>26</v>
      </c>
      <c r="D40" t="str" cm="1">
        <f t="array" ref="D40">_xlfn.XLOOKUP(1,('26 WR'!A:A=E40)*('26 WR'!B:B=F40),'26 WR'!C:C)</f>
        <v>Ty Simpson</v>
      </c>
      <c r="E40" t="s">
        <v>67</v>
      </c>
      <c r="F40">
        <v>39</v>
      </c>
      <c r="G40">
        <f>VLOOKUP(B40,[2]FantasyPros_2025_Overall_ADP_Ra!$B$2:$E$416,4,FALSE)</f>
        <v>432</v>
      </c>
      <c r="H40">
        <v>0</v>
      </c>
      <c r="I40">
        <v>21.8</v>
      </c>
      <c r="J40">
        <v>14.3</v>
      </c>
      <c r="K40">
        <v>0</v>
      </c>
      <c r="L40">
        <v>22.2</v>
      </c>
      <c r="M40">
        <v>13.2</v>
      </c>
      <c r="N40">
        <v>6.2</v>
      </c>
      <c r="O40">
        <v>19</v>
      </c>
      <c r="P40">
        <v>15.8</v>
      </c>
      <c r="Q40">
        <v>24.1</v>
      </c>
      <c r="R40">
        <v>0.3</v>
      </c>
      <c r="S40">
        <v>0</v>
      </c>
      <c r="T40">
        <v>0.2</v>
      </c>
      <c r="U40">
        <v>0</v>
      </c>
      <c r="V40">
        <v>136</v>
      </c>
      <c r="W40">
        <v>12.4</v>
      </c>
      <c r="X40">
        <v>20</v>
      </c>
      <c r="Y40">
        <v>1</v>
      </c>
      <c r="Z40">
        <v>7</v>
      </c>
      <c r="AA40">
        <v>5</v>
      </c>
      <c r="AB40">
        <v>3</v>
      </c>
      <c r="AC40">
        <v>0</v>
      </c>
      <c r="AD40">
        <v>0</v>
      </c>
      <c r="AE40">
        <v>0.41176470588235292</v>
      </c>
      <c r="AF40">
        <v>0.45454545454545453</v>
      </c>
      <c r="AG40">
        <v>0.27272727272727271</v>
      </c>
      <c r="AH40">
        <v>0</v>
      </c>
      <c r="AI40">
        <v>0</v>
      </c>
    </row>
    <row r="41" spans="1:35" x14ac:dyDescent="0.25">
      <c r="A41">
        <v>2025</v>
      </c>
      <c r="B41" t="s">
        <v>352</v>
      </c>
      <c r="C41" t="s">
        <v>21</v>
      </c>
      <c r="D41" t="str" cm="1">
        <f t="array" ref="D41">_xlfn.XLOOKUP(1,('26 WR'!A:A=E41)*('26 WR'!B:B=F41),'26 WR'!C:C)</f>
        <v>Justin Fields</v>
      </c>
      <c r="E41" t="s">
        <v>67</v>
      </c>
      <c r="F41">
        <v>40</v>
      </c>
      <c r="G41">
        <f>VLOOKUP(B41,[2]FantasyPros_2025_Overall_ADP_Ra!$B$2:$E$416,4,FALSE)</f>
        <v>443</v>
      </c>
      <c r="H41">
        <v>0</v>
      </c>
      <c r="I41">
        <v>20.7</v>
      </c>
      <c r="J41">
        <v>7.9</v>
      </c>
      <c r="K41">
        <v>5.4</v>
      </c>
      <c r="L41">
        <v>22.1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56.7</v>
      </c>
      <c r="W41">
        <v>11.3</v>
      </c>
      <c r="X41">
        <v>43</v>
      </c>
      <c r="Y41">
        <v>1</v>
      </c>
      <c r="Z41">
        <v>2</v>
      </c>
      <c r="AA41">
        <v>2</v>
      </c>
      <c r="AB41">
        <v>2</v>
      </c>
      <c r="AC41">
        <v>0</v>
      </c>
      <c r="AD41">
        <v>0</v>
      </c>
      <c r="AE41">
        <v>0.11764705882352941</v>
      </c>
      <c r="AF41">
        <v>0.4</v>
      </c>
      <c r="AG41">
        <v>0.4</v>
      </c>
      <c r="AH41">
        <v>0</v>
      </c>
      <c r="AI41">
        <v>0</v>
      </c>
    </row>
    <row r="42" spans="1:35" x14ac:dyDescent="0.25">
      <c r="A42">
        <v>2025</v>
      </c>
      <c r="B42" t="s">
        <v>22</v>
      </c>
      <c r="C42" t="s">
        <v>24</v>
      </c>
      <c r="D42" t="str" cm="1">
        <f t="array" ref="D42">_xlfn.XLOOKUP(1,('26 WR'!A:A=E42)*('26 WR'!B:B=F42),'26 WR'!C:C)</f>
        <v>Bijan Robinson</v>
      </c>
      <c r="E42" t="s">
        <v>23</v>
      </c>
      <c r="F42">
        <v>1</v>
      </c>
      <c r="G42">
        <f>VLOOKUP(B42,[2]FantasyPros_2025_Overall_ADP_Ra!$B$2:$E$416,4,FALSE)</f>
        <v>2</v>
      </c>
      <c r="H42">
        <v>24.4</v>
      </c>
      <c r="I42">
        <v>19.8</v>
      </c>
      <c r="J42">
        <v>16.100000000000001</v>
      </c>
      <c r="K42">
        <v>28.1</v>
      </c>
      <c r="L42">
        <v>0</v>
      </c>
      <c r="M42">
        <v>35.799999999999997</v>
      </c>
      <c r="N42">
        <v>21.2</v>
      </c>
      <c r="O42">
        <v>5.8</v>
      </c>
      <c r="P42">
        <v>17.600000000000001</v>
      </c>
      <c r="Q42">
        <v>10.8</v>
      </c>
      <c r="R42">
        <v>30.3</v>
      </c>
      <c r="S42">
        <v>14.7</v>
      </c>
      <c r="T42">
        <v>30.3</v>
      </c>
      <c r="U42">
        <v>9.4</v>
      </c>
      <c r="V42">
        <v>370.8</v>
      </c>
      <c r="W42">
        <v>21.8</v>
      </c>
      <c r="X42">
        <v>1</v>
      </c>
      <c r="Y42">
        <v>1</v>
      </c>
      <c r="Z42">
        <v>14</v>
      </c>
      <c r="AA42">
        <v>12</v>
      </c>
      <c r="AB42">
        <v>9</v>
      </c>
      <c r="AC42">
        <v>7</v>
      </c>
      <c r="AD42">
        <v>4</v>
      </c>
      <c r="AE42">
        <v>0.82352941176470584</v>
      </c>
      <c r="AF42">
        <v>0.70588235294117652</v>
      </c>
      <c r="AG42">
        <v>0.52941176470588236</v>
      </c>
      <c r="AH42">
        <v>0.41176470588235292</v>
      </c>
      <c r="AI42">
        <v>0.23529411764705882</v>
      </c>
    </row>
    <row r="43" spans="1:35" x14ac:dyDescent="0.25">
      <c r="A43">
        <v>2025</v>
      </c>
      <c r="B43" t="s">
        <v>32</v>
      </c>
      <c r="C43" t="s">
        <v>33</v>
      </c>
      <c r="D43" t="str" cm="1">
        <f t="array" ref="D43">_xlfn.XLOOKUP(1,('26 WR'!A:A=E43)*('26 WR'!B:B=F43),'26 WR'!C:C)</f>
        <v>Jahmyr Gibbs</v>
      </c>
      <c r="E43" t="s">
        <v>23</v>
      </c>
      <c r="F43">
        <v>2</v>
      </c>
      <c r="G43">
        <f>VLOOKUP(B43,[2]FantasyPros_2025_Overall_ADP_Ra!$B$2:$E$416,4,FALSE)</f>
        <v>3</v>
      </c>
      <c r="H43">
        <v>18.399999999999999</v>
      </c>
      <c r="I43">
        <v>17.399999999999999</v>
      </c>
      <c r="J43">
        <v>9.5</v>
      </c>
      <c r="K43">
        <v>17.399999999999999</v>
      </c>
      <c r="L43">
        <v>17.8</v>
      </c>
      <c r="M43">
        <v>8.6999999999999993</v>
      </c>
      <c r="N43">
        <v>5.2</v>
      </c>
      <c r="O43">
        <v>33.4</v>
      </c>
      <c r="P43">
        <v>0</v>
      </c>
      <c r="Q43">
        <v>13.1</v>
      </c>
      <c r="R43">
        <v>10</v>
      </c>
      <c r="S43">
        <v>12.4</v>
      </c>
      <c r="T43">
        <v>5.6</v>
      </c>
      <c r="U43">
        <v>18.2</v>
      </c>
      <c r="V43">
        <v>232.3</v>
      </c>
      <c r="W43">
        <v>14.5</v>
      </c>
      <c r="X43">
        <v>1</v>
      </c>
      <c r="Y43">
        <v>1</v>
      </c>
      <c r="Z43">
        <v>10</v>
      </c>
      <c r="AA43">
        <v>8</v>
      </c>
      <c r="AB43">
        <v>2</v>
      </c>
      <c r="AC43">
        <v>1</v>
      </c>
      <c r="AD43">
        <v>1</v>
      </c>
      <c r="AE43">
        <v>0.58823529411764708</v>
      </c>
      <c r="AF43">
        <v>0.5</v>
      </c>
      <c r="AG43">
        <v>0.125</v>
      </c>
      <c r="AH43">
        <v>6.25E-2</v>
      </c>
      <c r="AI43">
        <v>6.25E-2</v>
      </c>
    </row>
    <row r="44" spans="1:35" x14ac:dyDescent="0.25">
      <c r="A44">
        <v>2025</v>
      </c>
      <c r="B44" t="s">
        <v>36</v>
      </c>
      <c r="C44" t="s">
        <v>37</v>
      </c>
      <c r="D44" t="str" cm="1">
        <f t="array" ref="D44">_xlfn.XLOOKUP(1,('26 WR'!A:A=E44)*('26 WR'!B:B=F44),'26 WR'!C:C)</f>
        <v>Christian McCaffrey</v>
      </c>
      <c r="E44" t="s">
        <v>23</v>
      </c>
      <c r="F44">
        <v>3</v>
      </c>
      <c r="G44">
        <f>VLOOKUP(B44,[2]FantasyPros_2025_Overall_ADP_Ra!$B$2:$E$416,4,FALSE)</f>
        <v>5</v>
      </c>
      <c r="H44">
        <v>15</v>
      </c>
      <c r="I44">
        <v>19.399999999999999</v>
      </c>
      <c r="J44">
        <v>26.9</v>
      </c>
      <c r="K44">
        <v>17.7</v>
      </c>
      <c r="L44">
        <v>16.7</v>
      </c>
      <c r="M44">
        <v>7.5</v>
      </c>
      <c r="N44">
        <v>36.799999999999997</v>
      </c>
      <c r="O44">
        <v>0</v>
      </c>
      <c r="P44">
        <v>5.8</v>
      </c>
      <c r="Q44">
        <v>38.200000000000003</v>
      </c>
      <c r="R44">
        <v>19.600000000000001</v>
      </c>
      <c r="S44">
        <v>55.4</v>
      </c>
      <c r="T44">
        <v>11.6</v>
      </c>
      <c r="U44">
        <v>37</v>
      </c>
      <c r="V44">
        <v>366.9</v>
      </c>
      <c r="W44">
        <v>21.6</v>
      </c>
      <c r="X44">
        <v>1</v>
      </c>
      <c r="Y44">
        <v>1</v>
      </c>
      <c r="Z44">
        <v>13</v>
      </c>
      <c r="AA44">
        <v>11</v>
      </c>
      <c r="AB44">
        <v>7</v>
      </c>
      <c r="AC44">
        <v>5</v>
      </c>
      <c r="AD44">
        <v>4</v>
      </c>
      <c r="AE44">
        <v>0.76470588235294112</v>
      </c>
      <c r="AF44">
        <v>0.6470588235294118</v>
      </c>
      <c r="AG44">
        <v>0.41176470588235292</v>
      </c>
      <c r="AH44">
        <v>0.29411764705882354</v>
      </c>
      <c r="AI44">
        <v>0.23529411764705882</v>
      </c>
    </row>
    <row r="45" spans="1:35" x14ac:dyDescent="0.25">
      <c r="A45">
        <v>2025</v>
      </c>
      <c r="B45" t="s">
        <v>25</v>
      </c>
      <c r="C45" t="s">
        <v>26</v>
      </c>
      <c r="D45" t="str" cm="1">
        <f t="array" ref="D45">_xlfn.XLOOKUP(1,('26 WR'!A:A=E45)*('26 WR'!B:B=F45),'26 WR'!C:C)</f>
        <v>Jonathan Taylor</v>
      </c>
      <c r="E45" t="s">
        <v>23</v>
      </c>
      <c r="F45">
        <v>4</v>
      </c>
      <c r="G45">
        <f>VLOOKUP(B45,[2]FantasyPros_2025_Overall_ADP_Ra!$B$2:$E$416,4,FALSE)</f>
        <v>7</v>
      </c>
      <c r="H45">
        <v>23.2</v>
      </c>
      <c r="I45">
        <v>22.7</v>
      </c>
      <c r="J45">
        <v>24</v>
      </c>
      <c r="K45">
        <v>26.1</v>
      </c>
      <c r="L45">
        <v>27.9</v>
      </c>
      <c r="M45">
        <v>24.1</v>
      </c>
      <c r="N45">
        <v>39.1</v>
      </c>
      <c r="O45">
        <v>9.8000000000000007</v>
      </c>
      <c r="P45">
        <v>34.299999999999997</v>
      </c>
      <c r="Q45">
        <v>17.600000000000001</v>
      </c>
      <c r="R45">
        <v>35.1</v>
      </c>
      <c r="S45">
        <v>27.2</v>
      </c>
      <c r="T45">
        <v>17.399999999999999</v>
      </c>
      <c r="U45">
        <v>0</v>
      </c>
      <c r="V45">
        <v>416.6</v>
      </c>
      <c r="W45">
        <v>24.5</v>
      </c>
      <c r="X45">
        <v>1</v>
      </c>
      <c r="Y45">
        <v>1</v>
      </c>
      <c r="Z45">
        <v>16</v>
      </c>
      <c r="AA45">
        <v>15</v>
      </c>
      <c r="AB45">
        <v>12</v>
      </c>
      <c r="AC45">
        <v>8</v>
      </c>
      <c r="AD45">
        <v>4</v>
      </c>
      <c r="AE45">
        <v>0.94117647058823528</v>
      </c>
      <c r="AF45">
        <v>0.88235294117647056</v>
      </c>
      <c r="AG45">
        <v>0.70588235294117652</v>
      </c>
      <c r="AH45">
        <v>0.47058823529411764</v>
      </c>
      <c r="AI45">
        <v>0.23529411764705882</v>
      </c>
    </row>
    <row r="46" spans="1:35" x14ac:dyDescent="0.25">
      <c r="A46">
        <v>2025</v>
      </c>
      <c r="B46" t="s">
        <v>40</v>
      </c>
      <c r="C46" t="s">
        <v>41</v>
      </c>
      <c r="D46" t="str" cm="1">
        <f t="array" ref="D46">_xlfn.XLOOKUP(1,('26 WR'!A:A=E46)*('26 WR'!B:B=F46),'26 WR'!C:C)</f>
        <v>Ashton Jeanty</v>
      </c>
      <c r="E46" t="s">
        <v>23</v>
      </c>
      <c r="F46">
        <v>5</v>
      </c>
      <c r="G46">
        <f>VLOOKUP(B46,[2]FantasyPros_2025_Overall_ADP_Ra!$B$2:$E$416,4,FALSE)</f>
        <v>9</v>
      </c>
      <c r="H46">
        <v>29.2</v>
      </c>
      <c r="I46">
        <v>2.2999999999999998</v>
      </c>
      <c r="J46">
        <v>10.7</v>
      </c>
      <c r="K46">
        <v>7.8</v>
      </c>
      <c r="L46">
        <v>9.3000000000000007</v>
      </c>
      <c r="M46">
        <v>14</v>
      </c>
      <c r="N46">
        <v>0</v>
      </c>
      <c r="O46">
        <v>19.100000000000001</v>
      </c>
      <c r="P46">
        <v>13.1</v>
      </c>
      <c r="Q46">
        <v>11.4</v>
      </c>
      <c r="R46">
        <v>20.2</v>
      </c>
      <c r="S46">
        <v>22.8</v>
      </c>
      <c r="T46">
        <v>17.399999999999999</v>
      </c>
      <c r="U46">
        <v>11.2</v>
      </c>
      <c r="V46">
        <v>279.5</v>
      </c>
      <c r="W46">
        <v>16.399999999999999</v>
      </c>
      <c r="X46">
        <v>1</v>
      </c>
      <c r="Y46">
        <v>1</v>
      </c>
      <c r="Z46">
        <v>13</v>
      </c>
      <c r="AA46">
        <v>7</v>
      </c>
      <c r="AB46">
        <v>5</v>
      </c>
      <c r="AC46">
        <v>2</v>
      </c>
      <c r="AD46">
        <v>1</v>
      </c>
      <c r="AE46">
        <v>0.76470588235294112</v>
      </c>
      <c r="AF46">
        <v>0.41176470588235292</v>
      </c>
      <c r="AG46">
        <v>0.29411764705882354</v>
      </c>
      <c r="AH46">
        <v>0.11764705882352941</v>
      </c>
      <c r="AI46">
        <v>5.8823529411764705E-2</v>
      </c>
    </row>
    <row r="47" spans="1:35" x14ac:dyDescent="0.25">
      <c r="A47">
        <v>2025</v>
      </c>
      <c r="B47" t="s">
        <v>47</v>
      </c>
      <c r="C47" t="s">
        <v>29</v>
      </c>
      <c r="D47" t="str" cm="1">
        <f t="array" ref="D47">_xlfn.XLOOKUP(1,('26 WR'!A:A=E47)*('26 WR'!B:B=F47),'26 WR'!C:C)</f>
        <v>James Cook III</v>
      </c>
      <c r="E47" t="s">
        <v>23</v>
      </c>
      <c r="F47">
        <v>6</v>
      </c>
      <c r="G47">
        <f>VLOOKUP(B47,[2]FantasyPros_2025_Overall_ADP_Ra!$B$2:$E$416,4,FALSE)</f>
        <v>12</v>
      </c>
      <c r="H47">
        <v>12</v>
      </c>
      <c r="I47">
        <v>7.4</v>
      </c>
      <c r="J47">
        <v>6.3</v>
      </c>
      <c r="K47">
        <v>33.5</v>
      </c>
      <c r="L47">
        <v>15.9</v>
      </c>
      <c r="M47">
        <v>16.600000000000001</v>
      </c>
      <c r="N47">
        <v>4.4000000000000004</v>
      </c>
      <c r="O47">
        <v>0</v>
      </c>
      <c r="P47">
        <v>19.899999999999999</v>
      </c>
      <c r="Q47">
        <v>15.3</v>
      </c>
      <c r="R47">
        <v>9.4</v>
      </c>
      <c r="S47">
        <v>24.8</v>
      </c>
      <c r="T47">
        <v>12.1</v>
      </c>
      <c r="U47">
        <v>5.8</v>
      </c>
      <c r="V47">
        <v>245.1</v>
      </c>
      <c r="W47">
        <v>14.4</v>
      </c>
      <c r="X47">
        <v>1</v>
      </c>
      <c r="Y47">
        <v>1</v>
      </c>
      <c r="Z47">
        <v>10</v>
      </c>
      <c r="AA47">
        <v>7</v>
      </c>
      <c r="AB47">
        <v>3</v>
      </c>
      <c r="AC47">
        <v>2</v>
      </c>
      <c r="AD47">
        <v>2</v>
      </c>
      <c r="AE47">
        <v>0.58823529411764708</v>
      </c>
      <c r="AF47">
        <v>0.41176470588235292</v>
      </c>
      <c r="AG47">
        <v>0.17647058823529413</v>
      </c>
      <c r="AH47">
        <v>0.11764705882352941</v>
      </c>
      <c r="AI47">
        <v>0.11764705882352941</v>
      </c>
    </row>
    <row r="48" spans="1:35" x14ac:dyDescent="0.25">
      <c r="A48">
        <v>2025</v>
      </c>
      <c r="B48" t="s">
        <v>52</v>
      </c>
      <c r="C48" t="s">
        <v>21</v>
      </c>
      <c r="D48" t="str" cm="1">
        <f t="array" ref="D48">_xlfn.XLOOKUP(1,('26 WR'!A:A=E48)*('26 WR'!B:B=F48),'26 WR'!C:C)</f>
        <v>De'Von Achane</v>
      </c>
      <c r="E48" t="s">
        <v>23</v>
      </c>
      <c r="F48">
        <v>7</v>
      </c>
      <c r="G48">
        <f>VLOOKUP(B48,[2]FantasyPros_2025_Overall_ADP_Ra!$B$2:$E$416,4,FALSE)</f>
        <v>15</v>
      </c>
      <c r="H48">
        <v>13.1</v>
      </c>
      <c r="I48">
        <v>8.5</v>
      </c>
      <c r="J48">
        <v>6</v>
      </c>
      <c r="K48">
        <v>10.1</v>
      </c>
      <c r="L48">
        <v>11.8</v>
      </c>
      <c r="M48">
        <v>8.9</v>
      </c>
      <c r="N48">
        <v>12</v>
      </c>
      <c r="O48">
        <v>25.5</v>
      </c>
      <c r="P48">
        <v>19.2</v>
      </c>
      <c r="Q48">
        <v>0</v>
      </c>
      <c r="R48">
        <v>18.7</v>
      </c>
      <c r="S48">
        <v>15</v>
      </c>
      <c r="T48">
        <v>18.3</v>
      </c>
      <c r="U48">
        <v>18.5</v>
      </c>
      <c r="V48">
        <v>282.60000000000002</v>
      </c>
      <c r="W48">
        <v>16.600000000000001</v>
      </c>
      <c r="X48">
        <v>2</v>
      </c>
      <c r="Y48">
        <v>1</v>
      </c>
      <c r="Z48">
        <v>14</v>
      </c>
      <c r="AA48">
        <v>9</v>
      </c>
      <c r="AB48">
        <v>3</v>
      </c>
      <c r="AC48">
        <v>3</v>
      </c>
      <c r="AD48">
        <v>1</v>
      </c>
      <c r="AE48">
        <v>0.82352941176470584</v>
      </c>
      <c r="AF48">
        <v>0.52941176470588236</v>
      </c>
      <c r="AG48">
        <v>0.17647058823529413</v>
      </c>
      <c r="AH48">
        <v>0.17647058823529413</v>
      </c>
      <c r="AI48">
        <v>5.8823529411764705E-2</v>
      </c>
    </row>
    <row r="49" spans="1:35" x14ac:dyDescent="0.25">
      <c r="A49">
        <v>2025</v>
      </c>
      <c r="B49" t="s">
        <v>54</v>
      </c>
      <c r="C49" t="s">
        <v>55</v>
      </c>
      <c r="D49" t="str" cm="1">
        <f t="array" ref="D49">_xlfn.XLOOKUP(1,('26 WR'!A:A=E49)*('26 WR'!B:B=F49),'26 WR'!C:C)</f>
        <v>Chase Brown</v>
      </c>
      <c r="E49" t="s">
        <v>23</v>
      </c>
      <c r="F49">
        <v>8</v>
      </c>
      <c r="G49">
        <f>VLOOKUP(B49,[2]FantasyPros_2025_Overall_ADP_Ra!$B$2:$E$416,4,FALSE)</f>
        <v>17</v>
      </c>
      <c r="H49">
        <v>12.8</v>
      </c>
      <c r="I49">
        <v>29.5</v>
      </c>
      <c r="J49">
        <v>32.799999999999997</v>
      </c>
      <c r="K49">
        <v>14.6</v>
      </c>
      <c r="L49">
        <v>31.6</v>
      </c>
      <c r="M49">
        <v>23.7</v>
      </c>
      <c r="N49">
        <v>34.200000000000003</v>
      </c>
      <c r="O49">
        <v>37.4</v>
      </c>
      <c r="P49">
        <v>7.7</v>
      </c>
      <c r="Q49">
        <v>49.6</v>
      </c>
      <c r="R49">
        <v>0</v>
      </c>
      <c r="S49">
        <v>8.6</v>
      </c>
      <c r="T49">
        <v>15.1</v>
      </c>
      <c r="U49">
        <v>11.4</v>
      </c>
      <c r="V49">
        <v>362.3</v>
      </c>
      <c r="W49">
        <v>21.3</v>
      </c>
      <c r="X49">
        <v>2</v>
      </c>
      <c r="Y49">
        <v>1</v>
      </c>
      <c r="Z49">
        <v>14</v>
      </c>
      <c r="AA49">
        <v>10</v>
      </c>
      <c r="AB49">
        <v>7</v>
      </c>
      <c r="AC49">
        <v>6</v>
      </c>
      <c r="AD49">
        <v>5</v>
      </c>
      <c r="AE49">
        <v>0.82352941176470584</v>
      </c>
      <c r="AF49">
        <v>0.58823529411764708</v>
      </c>
      <c r="AG49">
        <v>0.41176470588235292</v>
      </c>
      <c r="AH49">
        <v>0.35294117647058826</v>
      </c>
      <c r="AI49">
        <v>0.29411764705882354</v>
      </c>
    </row>
    <row r="50" spans="1:35" x14ac:dyDescent="0.25">
      <c r="A50">
        <v>2025</v>
      </c>
      <c r="B50" t="s">
        <v>56</v>
      </c>
      <c r="C50" t="s">
        <v>57</v>
      </c>
      <c r="D50" t="str" cm="1">
        <f t="array" ref="D50">_xlfn.XLOOKUP(1,('26 WR'!A:A=E50)*('26 WR'!B:B=F50),'26 WR'!C:C)</f>
        <v>Saquon Barkley</v>
      </c>
      <c r="E50" t="s">
        <v>23</v>
      </c>
      <c r="F50">
        <v>9</v>
      </c>
      <c r="G50">
        <f>VLOOKUP(B50,[2]FantasyPros_2025_Overall_ADP_Ra!$B$2:$E$416,4,FALSE)</f>
        <v>19</v>
      </c>
      <c r="H50">
        <v>14.5</v>
      </c>
      <c r="I50">
        <v>18.100000000000001</v>
      </c>
      <c r="J50">
        <v>13.9</v>
      </c>
      <c r="K50">
        <v>25.5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16.100000000000001</v>
      </c>
      <c r="U50">
        <v>16.100000000000001</v>
      </c>
      <c r="V50">
        <v>138.5</v>
      </c>
      <c r="W50">
        <v>13.9</v>
      </c>
      <c r="X50">
        <v>2</v>
      </c>
      <c r="Y50">
        <v>1</v>
      </c>
      <c r="Z50">
        <v>7</v>
      </c>
      <c r="AA50">
        <v>4</v>
      </c>
      <c r="AB50">
        <v>1</v>
      </c>
      <c r="AC50">
        <v>1</v>
      </c>
      <c r="AD50">
        <v>0</v>
      </c>
      <c r="AE50">
        <v>0.41176470588235292</v>
      </c>
      <c r="AF50">
        <v>0.4</v>
      </c>
      <c r="AG50">
        <v>0.1</v>
      </c>
      <c r="AH50">
        <v>0.1</v>
      </c>
      <c r="AI50">
        <v>0</v>
      </c>
    </row>
    <row r="51" spans="1:35" x14ac:dyDescent="0.25">
      <c r="A51">
        <v>2025</v>
      </c>
      <c r="B51" t="s">
        <v>58</v>
      </c>
      <c r="C51" t="s">
        <v>59</v>
      </c>
      <c r="D51" t="str" cm="1">
        <f t="array" ref="D51">_xlfn.XLOOKUP(1,('26 WR'!A:A=E51)*('26 WR'!B:B=F51),'26 WR'!C:C)</f>
        <v>Omarion Hampton</v>
      </c>
      <c r="E51" t="s">
        <v>23</v>
      </c>
      <c r="F51">
        <v>10</v>
      </c>
      <c r="G51">
        <f>VLOOKUP(B51,[2]FantasyPros_2025_Overall_ADP_Ra!$B$2:$E$416,4,FALSE)</f>
        <v>20</v>
      </c>
      <c r="H51">
        <v>16.5</v>
      </c>
      <c r="I51">
        <v>26.2</v>
      </c>
      <c r="J51">
        <v>16.100000000000001</v>
      </c>
      <c r="K51">
        <v>17.100000000000001</v>
      </c>
      <c r="L51">
        <v>16.600000000000001</v>
      </c>
      <c r="M51">
        <v>31</v>
      </c>
      <c r="N51">
        <v>12.8</v>
      </c>
      <c r="O51">
        <v>20.100000000000001</v>
      </c>
      <c r="P51">
        <v>16.600000000000001</v>
      </c>
      <c r="Q51">
        <v>40.5</v>
      </c>
      <c r="R51">
        <v>21.5</v>
      </c>
      <c r="S51">
        <v>0</v>
      </c>
      <c r="T51">
        <v>19.399999999999999</v>
      </c>
      <c r="U51">
        <v>17.5</v>
      </c>
      <c r="V51">
        <v>322.8</v>
      </c>
      <c r="W51">
        <v>20.2</v>
      </c>
      <c r="X51">
        <v>2</v>
      </c>
      <c r="Y51">
        <v>1</v>
      </c>
      <c r="Z51">
        <v>16</v>
      </c>
      <c r="AA51">
        <v>14</v>
      </c>
      <c r="AB51">
        <v>5</v>
      </c>
      <c r="AC51">
        <v>3</v>
      </c>
      <c r="AD51">
        <v>2</v>
      </c>
      <c r="AE51">
        <v>0.94117647058823528</v>
      </c>
      <c r="AF51">
        <v>0.875</v>
      </c>
      <c r="AG51">
        <v>0.3125</v>
      </c>
      <c r="AH51">
        <v>0.1875</v>
      </c>
      <c r="AI51">
        <v>0.125</v>
      </c>
    </row>
    <row r="52" spans="1:35" x14ac:dyDescent="0.25">
      <c r="A52">
        <v>2025</v>
      </c>
      <c r="B52" t="s">
        <v>60</v>
      </c>
      <c r="C52" t="s">
        <v>61</v>
      </c>
      <c r="D52" t="str" cm="1">
        <f t="array" ref="D52">_xlfn.XLOOKUP(1,('26 WR'!A:A=E52)*('26 WR'!B:B=F52),'26 WR'!C:C)</f>
        <v>Kenneth Walker III</v>
      </c>
      <c r="E52" t="s">
        <v>23</v>
      </c>
      <c r="F52">
        <v>11</v>
      </c>
      <c r="G52">
        <f>VLOOKUP(B52,[2]FantasyPros_2025_Overall_ADP_Ra!$B$2:$E$416,4,FALSE)</f>
        <v>21</v>
      </c>
      <c r="H52">
        <v>14</v>
      </c>
      <c r="I52">
        <v>14.4</v>
      </c>
      <c r="J52">
        <v>12.4</v>
      </c>
      <c r="K52">
        <v>31.7</v>
      </c>
      <c r="L52">
        <v>0</v>
      </c>
      <c r="M52">
        <v>32</v>
      </c>
      <c r="N52">
        <v>18.8</v>
      </c>
      <c r="O52">
        <v>13.5</v>
      </c>
      <c r="P52">
        <v>20</v>
      </c>
      <c r="Q52">
        <v>19.7</v>
      </c>
      <c r="R52">
        <v>4</v>
      </c>
      <c r="S52">
        <v>0</v>
      </c>
      <c r="T52">
        <v>10.1</v>
      </c>
      <c r="U52">
        <v>17.2</v>
      </c>
      <c r="V52">
        <v>237.1</v>
      </c>
      <c r="W52">
        <v>15.8</v>
      </c>
      <c r="X52">
        <v>2</v>
      </c>
      <c r="Y52">
        <v>1</v>
      </c>
      <c r="Z52">
        <v>12</v>
      </c>
      <c r="AA52">
        <v>7</v>
      </c>
      <c r="AB52">
        <v>3</v>
      </c>
      <c r="AC52">
        <v>2</v>
      </c>
      <c r="AD52">
        <v>2</v>
      </c>
      <c r="AE52">
        <v>0.70588235294117652</v>
      </c>
      <c r="AF52">
        <v>0.46666666666666667</v>
      </c>
      <c r="AG52">
        <v>0.2</v>
      </c>
      <c r="AH52">
        <v>0.13333333333333333</v>
      </c>
      <c r="AI52">
        <v>0.13333333333333333</v>
      </c>
    </row>
    <row r="53" spans="1:35" x14ac:dyDescent="0.25">
      <c r="A53">
        <v>2025</v>
      </c>
      <c r="B53" t="s">
        <v>71</v>
      </c>
      <c r="C53" t="s">
        <v>49</v>
      </c>
      <c r="D53" t="str" cm="1">
        <f t="array" ref="D53">_xlfn.XLOOKUP(1,('26 WR'!A:A=E53)*('26 WR'!B:B=F53),'26 WR'!C:C)</f>
        <v>Jeremiyah Love</v>
      </c>
      <c r="E53" t="s">
        <v>23</v>
      </c>
      <c r="F53">
        <v>12</v>
      </c>
      <c r="G53">
        <f>VLOOKUP(B53,[2]FantasyPros_2025_Overall_ADP_Ra!$B$2:$E$416,4,FALSE)</f>
        <v>28</v>
      </c>
      <c r="H53">
        <v>13.9</v>
      </c>
      <c r="I53">
        <v>10</v>
      </c>
      <c r="J53">
        <v>19.2</v>
      </c>
      <c r="K53">
        <v>10.4</v>
      </c>
      <c r="L53">
        <v>31.1</v>
      </c>
      <c r="M53">
        <v>16.7</v>
      </c>
      <c r="N53">
        <v>8.5</v>
      </c>
      <c r="O53">
        <v>0</v>
      </c>
      <c r="P53">
        <v>17.399999999999999</v>
      </c>
      <c r="Q53">
        <v>22.4</v>
      </c>
      <c r="R53">
        <v>16.600000000000001</v>
      </c>
      <c r="S53">
        <v>5.8</v>
      </c>
      <c r="T53">
        <v>13.2</v>
      </c>
      <c r="U53">
        <v>17.7</v>
      </c>
      <c r="V53">
        <v>263.3</v>
      </c>
      <c r="W53">
        <v>15.5</v>
      </c>
      <c r="X53">
        <v>3</v>
      </c>
      <c r="Y53">
        <v>1</v>
      </c>
      <c r="Z53">
        <v>14</v>
      </c>
      <c r="AA53">
        <v>9</v>
      </c>
      <c r="AB53">
        <v>3</v>
      </c>
      <c r="AC53">
        <v>1</v>
      </c>
      <c r="AD53">
        <v>1</v>
      </c>
      <c r="AE53">
        <v>0.82352941176470584</v>
      </c>
      <c r="AF53">
        <v>0.52941176470588236</v>
      </c>
      <c r="AG53">
        <v>0.17647058823529413</v>
      </c>
      <c r="AH53">
        <v>5.8823529411764705E-2</v>
      </c>
      <c r="AI53">
        <v>5.8823529411764705E-2</v>
      </c>
    </row>
    <row r="54" spans="1:35" x14ac:dyDescent="0.25">
      <c r="A54">
        <v>2025</v>
      </c>
      <c r="B54" t="s">
        <v>72</v>
      </c>
      <c r="C54" t="s">
        <v>65</v>
      </c>
      <c r="D54" t="str" cm="1">
        <f t="array" ref="D54">_xlfn.XLOOKUP(1,('26 WR'!A:A=E54)*('26 WR'!B:B=F54),'26 WR'!C:C)</f>
        <v>Derrick Henry</v>
      </c>
      <c r="E54" t="s">
        <v>23</v>
      </c>
      <c r="F54">
        <v>13</v>
      </c>
      <c r="G54">
        <f>VLOOKUP(B54,[2]FantasyPros_2025_Overall_ADP_Ra!$B$2:$E$416,4,FALSE)</f>
        <v>29</v>
      </c>
      <c r="H54">
        <v>8.1</v>
      </c>
      <c r="I54">
        <v>3.5</v>
      </c>
      <c r="J54">
        <v>24.9</v>
      </c>
      <c r="K54">
        <v>27.5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14.7</v>
      </c>
      <c r="V54">
        <v>135.69999999999999</v>
      </c>
      <c r="W54">
        <v>15.1</v>
      </c>
      <c r="X54">
        <v>3</v>
      </c>
      <c r="Y54">
        <v>1</v>
      </c>
      <c r="Z54">
        <v>6</v>
      </c>
      <c r="AA54">
        <v>4</v>
      </c>
      <c r="AB54">
        <v>2</v>
      </c>
      <c r="AC54">
        <v>1</v>
      </c>
      <c r="AD54">
        <v>0</v>
      </c>
      <c r="AE54">
        <v>0.35294117647058826</v>
      </c>
      <c r="AF54">
        <v>0.44444444444444442</v>
      </c>
      <c r="AG54">
        <v>0.22222222222222221</v>
      </c>
      <c r="AH54">
        <v>0.1111111111111111</v>
      </c>
      <c r="AI54">
        <v>0</v>
      </c>
    </row>
    <row r="55" spans="1:35" x14ac:dyDescent="0.25">
      <c r="A55">
        <v>2025</v>
      </c>
      <c r="B55" t="s">
        <v>76</v>
      </c>
      <c r="C55" t="s">
        <v>68</v>
      </c>
      <c r="D55" t="str" cm="1">
        <f t="array" ref="D55">_xlfn.XLOOKUP(1,('26 WR'!A:A=E55)*('26 WR'!B:B=F55),'26 WR'!C:C)</f>
        <v>Breece Hall</v>
      </c>
      <c r="E55" t="s">
        <v>23</v>
      </c>
      <c r="F55">
        <v>14</v>
      </c>
      <c r="G55">
        <f>VLOOKUP(B55,[2]FantasyPros_2025_Overall_ADP_Ra!$B$2:$E$416,4,FALSE)</f>
        <v>32</v>
      </c>
      <c r="H55">
        <v>21.2</v>
      </c>
      <c r="I55">
        <v>26.5</v>
      </c>
      <c r="J55">
        <v>20.8</v>
      </c>
      <c r="K55">
        <v>22.5</v>
      </c>
      <c r="L55">
        <v>4.9000000000000004</v>
      </c>
      <c r="M55">
        <v>8.6999999999999993</v>
      </c>
      <c r="N55">
        <v>0</v>
      </c>
      <c r="O55">
        <v>33.6</v>
      </c>
      <c r="P55">
        <v>13.5</v>
      </c>
      <c r="Q55">
        <v>10.7</v>
      </c>
      <c r="R55">
        <v>20.399999999999999</v>
      </c>
      <c r="S55">
        <v>21.9</v>
      </c>
      <c r="T55">
        <v>18.7</v>
      </c>
      <c r="U55">
        <v>11.1</v>
      </c>
      <c r="V55">
        <v>302.2</v>
      </c>
      <c r="W55">
        <v>17.8</v>
      </c>
      <c r="X55">
        <v>3</v>
      </c>
      <c r="Y55">
        <v>1</v>
      </c>
      <c r="Z55">
        <v>13</v>
      </c>
      <c r="AA55">
        <v>10</v>
      </c>
      <c r="AB55">
        <v>9</v>
      </c>
      <c r="AC55">
        <v>4</v>
      </c>
      <c r="AD55">
        <v>2</v>
      </c>
      <c r="AE55">
        <v>0.76470588235294112</v>
      </c>
      <c r="AF55">
        <v>0.58823529411764708</v>
      </c>
      <c r="AG55">
        <v>0.52941176470588236</v>
      </c>
      <c r="AH55">
        <v>0.23529411764705882</v>
      </c>
      <c r="AI55">
        <v>0.11764705882352941</v>
      </c>
    </row>
    <row r="56" spans="1:35" x14ac:dyDescent="0.25">
      <c r="A56">
        <v>2025</v>
      </c>
      <c r="B56" t="s">
        <v>77</v>
      </c>
      <c r="C56" t="s">
        <v>78</v>
      </c>
      <c r="D56" t="str" cm="1">
        <f t="array" ref="D56">_xlfn.XLOOKUP(1,('26 WR'!A:A=E56)*('26 WR'!B:B=F56),'26 WR'!C:C)</f>
        <v>Kyren Williams</v>
      </c>
      <c r="E56" t="s">
        <v>23</v>
      </c>
      <c r="F56">
        <v>15</v>
      </c>
      <c r="G56">
        <f>VLOOKUP(B56,[2]FantasyPros_2025_Overall_ADP_Ra!$B$2:$E$416,4,FALSE)</f>
        <v>33</v>
      </c>
      <c r="H56">
        <v>11.1</v>
      </c>
      <c r="I56">
        <v>6</v>
      </c>
      <c r="J56">
        <v>7.7</v>
      </c>
      <c r="K56">
        <v>12.6</v>
      </c>
      <c r="L56">
        <v>4.7</v>
      </c>
      <c r="M56">
        <v>4.5999999999999996</v>
      </c>
      <c r="N56">
        <v>0.5</v>
      </c>
      <c r="O56">
        <v>5.5</v>
      </c>
      <c r="P56">
        <v>12.7</v>
      </c>
      <c r="Q56">
        <v>28</v>
      </c>
      <c r="R56">
        <v>32.299999999999997</v>
      </c>
      <c r="S56">
        <v>11.1</v>
      </c>
      <c r="T56">
        <v>11.6</v>
      </c>
      <c r="U56">
        <v>0</v>
      </c>
      <c r="V56">
        <v>206.2</v>
      </c>
      <c r="W56">
        <v>12.1</v>
      </c>
      <c r="X56">
        <v>3</v>
      </c>
      <c r="Y56">
        <v>1</v>
      </c>
      <c r="Z56">
        <v>9</v>
      </c>
      <c r="AA56">
        <v>4</v>
      </c>
      <c r="AB56">
        <v>3</v>
      </c>
      <c r="AC56">
        <v>3</v>
      </c>
      <c r="AD56">
        <v>2</v>
      </c>
      <c r="AE56">
        <v>0.52941176470588236</v>
      </c>
      <c r="AF56">
        <v>0.23529411764705882</v>
      </c>
      <c r="AG56">
        <v>0.17647058823529413</v>
      </c>
      <c r="AH56">
        <v>0.17647058823529413</v>
      </c>
      <c r="AI56">
        <v>0.11764705882352941</v>
      </c>
    </row>
    <row r="57" spans="1:35" x14ac:dyDescent="0.25">
      <c r="A57">
        <v>2025</v>
      </c>
      <c r="B57" t="s">
        <v>86</v>
      </c>
      <c r="C57" t="s">
        <v>74</v>
      </c>
      <c r="D57" t="str" cm="1">
        <f t="array" ref="D57">_xlfn.XLOOKUP(1,('26 WR'!A:A=E57)*('26 WR'!B:B=F57),'26 WR'!C:C)</f>
        <v>Josh Jacobs</v>
      </c>
      <c r="E57" t="s">
        <v>23</v>
      </c>
      <c r="F57">
        <v>16</v>
      </c>
      <c r="G57">
        <f>VLOOKUP(B57,[2]FantasyPros_2025_Overall_ADP_Ra!$B$2:$E$416,4,FALSE)</f>
        <v>40</v>
      </c>
      <c r="H57">
        <v>5.4</v>
      </c>
      <c r="I57">
        <v>18.8</v>
      </c>
      <c r="J57">
        <v>18</v>
      </c>
      <c r="K57">
        <v>12</v>
      </c>
      <c r="L57">
        <v>9.6</v>
      </c>
      <c r="M57">
        <v>4.7</v>
      </c>
      <c r="N57">
        <v>6.6</v>
      </c>
      <c r="O57">
        <v>0</v>
      </c>
      <c r="P57">
        <v>8.1</v>
      </c>
      <c r="Q57">
        <v>8</v>
      </c>
      <c r="R57">
        <v>20.100000000000001</v>
      </c>
      <c r="S57">
        <v>13.1</v>
      </c>
      <c r="T57">
        <v>10.4</v>
      </c>
      <c r="U57">
        <v>3.8</v>
      </c>
      <c r="V57">
        <v>191.9</v>
      </c>
      <c r="W57">
        <v>11.3</v>
      </c>
      <c r="X57">
        <v>4</v>
      </c>
      <c r="Y57">
        <v>1</v>
      </c>
      <c r="Z57">
        <v>8</v>
      </c>
      <c r="AA57">
        <v>5</v>
      </c>
      <c r="AB57">
        <v>2</v>
      </c>
      <c r="AC57">
        <v>1</v>
      </c>
      <c r="AD57">
        <v>0</v>
      </c>
      <c r="AE57">
        <v>0.47058823529411764</v>
      </c>
      <c r="AF57">
        <v>0.29411764705882354</v>
      </c>
      <c r="AG57">
        <v>0.11764705882352941</v>
      </c>
      <c r="AH57">
        <v>5.8823529411764705E-2</v>
      </c>
      <c r="AI57">
        <v>0</v>
      </c>
    </row>
    <row r="58" spans="1:35" x14ac:dyDescent="0.25">
      <c r="A58">
        <v>2025</v>
      </c>
      <c r="B58" t="s">
        <v>95</v>
      </c>
      <c r="C58" t="s">
        <v>96</v>
      </c>
      <c r="D58" t="str" cm="1">
        <f t="array" ref="D58">_xlfn.XLOOKUP(1,('26 WR'!A:A=E58)*('26 WR'!B:B=F58),'26 WR'!C:C)</f>
        <v>Travis Etienne Jr.</v>
      </c>
      <c r="E58" t="s">
        <v>23</v>
      </c>
      <c r="F58">
        <v>17</v>
      </c>
      <c r="G58">
        <f>VLOOKUP(B58,[2]FantasyPros_2025_Overall_ADP_Ra!$B$2:$E$416,4,FALSE)</f>
        <v>46</v>
      </c>
      <c r="H58">
        <v>13.7</v>
      </c>
      <c r="I58">
        <v>16</v>
      </c>
      <c r="J58">
        <v>6.6</v>
      </c>
      <c r="K58">
        <v>11.2</v>
      </c>
      <c r="L58">
        <v>9.5</v>
      </c>
      <c r="M58">
        <v>12.6</v>
      </c>
      <c r="N58">
        <v>5.9</v>
      </c>
      <c r="O58">
        <v>6.5</v>
      </c>
      <c r="P58">
        <v>0.7</v>
      </c>
      <c r="Q58">
        <v>14.5</v>
      </c>
      <c r="R58">
        <v>0</v>
      </c>
      <c r="S58">
        <v>3.5</v>
      </c>
      <c r="T58">
        <v>0</v>
      </c>
      <c r="U58">
        <v>0</v>
      </c>
      <c r="V58">
        <v>100.7</v>
      </c>
      <c r="W58">
        <v>9.1999999999999993</v>
      </c>
      <c r="X58">
        <v>4</v>
      </c>
      <c r="Y58">
        <v>1</v>
      </c>
      <c r="Z58">
        <v>5</v>
      </c>
      <c r="AA58">
        <v>1</v>
      </c>
      <c r="AB58">
        <v>0</v>
      </c>
      <c r="AC58">
        <v>0</v>
      </c>
      <c r="AD58">
        <v>0</v>
      </c>
      <c r="AE58">
        <v>0.29411764705882354</v>
      </c>
      <c r="AF58">
        <v>9.0909090909090912E-2</v>
      </c>
      <c r="AG58">
        <v>0</v>
      </c>
      <c r="AH58">
        <v>0</v>
      </c>
      <c r="AI58">
        <v>0</v>
      </c>
    </row>
    <row r="59" spans="1:35" x14ac:dyDescent="0.25">
      <c r="A59">
        <v>2025</v>
      </c>
      <c r="B59" t="s">
        <v>105</v>
      </c>
      <c r="C59" t="s">
        <v>90</v>
      </c>
      <c r="D59" t="str" cm="1">
        <f t="array" ref="D59">_xlfn.XLOOKUP(1,('26 WR'!A:A=E59)*('26 WR'!B:B=F59),'26 WR'!C:C)</f>
        <v>Javonte Williams</v>
      </c>
      <c r="E59" t="s">
        <v>23</v>
      </c>
      <c r="F59">
        <v>18</v>
      </c>
      <c r="G59">
        <f>VLOOKUP(B59,[2]FantasyPros_2025_Overall_ADP_Ra!$B$2:$E$416,4,FALSE)</f>
        <v>51</v>
      </c>
      <c r="H59">
        <v>16.5</v>
      </c>
      <c r="I59">
        <v>5.8</v>
      </c>
      <c r="J59">
        <v>9.1999999999999993</v>
      </c>
      <c r="K59">
        <v>16.100000000000001</v>
      </c>
      <c r="L59">
        <v>17.5</v>
      </c>
      <c r="M59">
        <v>5.9</v>
      </c>
      <c r="N59">
        <v>7.2</v>
      </c>
      <c r="O59">
        <v>32.9</v>
      </c>
      <c r="P59">
        <v>0</v>
      </c>
      <c r="Q59">
        <v>19.5</v>
      </c>
      <c r="R59">
        <v>8.4</v>
      </c>
      <c r="S59">
        <v>13.9</v>
      </c>
      <c r="T59">
        <v>15.6</v>
      </c>
      <c r="U59">
        <v>4.3</v>
      </c>
      <c r="V59">
        <v>207.7</v>
      </c>
      <c r="W59">
        <v>13</v>
      </c>
      <c r="X59">
        <v>5</v>
      </c>
      <c r="Y59">
        <v>1</v>
      </c>
      <c r="Z59">
        <v>8</v>
      </c>
      <c r="AA59">
        <v>7</v>
      </c>
      <c r="AB59">
        <v>2</v>
      </c>
      <c r="AC59">
        <v>1</v>
      </c>
      <c r="AD59">
        <v>1</v>
      </c>
      <c r="AE59">
        <v>0.47058823529411764</v>
      </c>
      <c r="AF59">
        <v>0.4375</v>
      </c>
      <c r="AG59">
        <v>0.125</v>
      </c>
      <c r="AH59">
        <v>6.25E-2</v>
      </c>
      <c r="AI59">
        <v>6.25E-2</v>
      </c>
    </row>
    <row r="60" spans="1:35" x14ac:dyDescent="0.25">
      <c r="A60">
        <v>2025</v>
      </c>
      <c r="B60" t="s">
        <v>106</v>
      </c>
      <c r="C60" t="s">
        <v>92</v>
      </c>
      <c r="D60" t="str" cm="1">
        <f t="array" ref="D60">_xlfn.XLOOKUP(1,('26 WR'!A:A=E60)*('26 WR'!B:B=F60),'26 WR'!C:C)</f>
        <v>Cam Skattebo</v>
      </c>
      <c r="E60" t="s">
        <v>23</v>
      </c>
      <c r="F60">
        <v>19</v>
      </c>
      <c r="G60">
        <f>VLOOKUP(B60,[2]FantasyPros_2025_Overall_ADP_Ra!$B$2:$E$416,4,FALSE)</f>
        <v>52</v>
      </c>
      <c r="H60">
        <v>17.899999999999999</v>
      </c>
      <c r="I60">
        <v>18.7</v>
      </c>
      <c r="J60">
        <v>9.6</v>
      </c>
      <c r="K60">
        <v>9.9</v>
      </c>
      <c r="L60">
        <v>0</v>
      </c>
      <c r="M60">
        <v>0</v>
      </c>
      <c r="N60">
        <v>7.5</v>
      </c>
      <c r="O60">
        <v>9.4</v>
      </c>
      <c r="P60">
        <v>1.7</v>
      </c>
      <c r="Q60">
        <v>2.5</v>
      </c>
      <c r="R60">
        <v>3.8</v>
      </c>
      <c r="S60">
        <v>8.3000000000000007</v>
      </c>
      <c r="T60">
        <v>20.399999999999999</v>
      </c>
      <c r="U60">
        <v>0</v>
      </c>
      <c r="V60">
        <v>125.4</v>
      </c>
      <c r="W60">
        <v>8.4</v>
      </c>
      <c r="X60">
        <v>5</v>
      </c>
      <c r="Y60">
        <v>1</v>
      </c>
      <c r="Z60">
        <v>3</v>
      </c>
      <c r="AA60">
        <v>3</v>
      </c>
      <c r="AB60">
        <v>1</v>
      </c>
      <c r="AC60">
        <v>0</v>
      </c>
      <c r="AD60">
        <v>0</v>
      </c>
      <c r="AE60">
        <v>0.17647058823529413</v>
      </c>
      <c r="AF60">
        <v>0.2</v>
      </c>
      <c r="AG60">
        <v>6.6666666666666666E-2</v>
      </c>
      <c r="AH60">
        <v>0</v>
      </c>
      <c r="AI60">
        <v>0</v>
      </c>
    </row>
    <row r="61" spans="1:35" x14ac:dyDescent="0.25">
      <c r="A61">
        <v>2025</v>
      </c>
      <c r="B61" t="s">
        <v>112</v>
      </c>
      <c r="C61" t="s">
        <v>45</v>
      </c>
      <c r="D61" t="str" cm="1">
        <f t="array" ref="D61">_xlfn.XLOOKUP(1,('26 WR'!A:A=E61)*('26 WR'!B:B=F61),'26 WR'!C:C)</f>
        <v>Bucky Irving</v>
      </c>
      <c r="E61" t="s">
        <v>23</v>
      </c>
      <c r="F61">
        <v>20</v>
      </c>
      <c r="G61">
        <f>VLOOKUP(B61,[2]FantasyPros_2025_Overall_ADP_Ra!$B$2:$E$416,4,FALSE)</f>
        <v>56</v>
      </c>
      <c r="H61">
        <v>14.4</v>
      </c>
      <c r="I61">
        <v>12.2</v>
      </c>
      <c r="J61">
        <v>6.7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33.299999999999997</v>
      </c>
      <c r="W61">
        <v>8.3000000000000007</v>
      </c>
      <c r="X61">
        <v>20</v>
      </c>
      <c r="Y61">
        <v>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0.11764705882352941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>
        <v>2025</v>
      </c>
      <c r="B62" t="s">
        <v>116</v>
      </c>
      <c r="C62" t="s">
        <v>98</v>
      </c>
      <c r="D62" t="str" cm="1">
        <f t="array" ref="D62">_xlfn.XLOOKUP(1,('26 WR'!A:A=E62)*('26 WR'!B:B=F62),'26 WR'!C:C)</f>
        <v>TreVeyon Henderson</v>
      </c>
      <c r="E62" t="s">
        <v>23</v>
      </c>
      <c r="F62">
        <v>21</v>
      </c>
      <c r="G62">
        <f>VLOOKUP(B62,[2]FantasyPros_2025_Overall_ADP_Ra!$B$2:$E$416,4,FALSE)</f>
        <v>59</v>
      </c>
      <c r="H62">
        <v>7.9</v>
      </c>
      <c r="I62">
        <v>3.4</v>
      </c>
      <c r="J62">
        <v>4.5999999999999996</v>
      </c>
      <c r="K62">
        <v>19.8</v>
      </c>
      <c r="L62">
        <v>6</v>
      </c>
      <c r="M62">
        <v>6.5</v>
      </c>
      <c r="N62">
        <v>7.2</v>
      </c>
      <c r="O62">
        <v>24.1</v>
      </c>
      <c r="P62">
        <v>16.600000000000001</v>
      </c>
      <c r="Q62">
        <v>3.8</v>
      </c>
      <c r="R62">
        <v>8</v>
      </c>
      <c r="S62">
        <v>0</v>
      </c>
      <c r="T62">
        <v>21.2</v>
      </c>
      <c r="U62">
        <v>22</v>
      </c>
      <c r="V62">
        <v>206.6</v>
      </c>
      <c r="W62">
        <v>12.2</v>
      </c>
      <c r="X62">
        <v>5</v>
      </c>
      <c r="Y62">
        <v>1</v>
      </c>
      <c r="Z62">
        <v>8</v>
      </c>
      <c r="AA62">
        <v>7</v>
      </c>
      <c r="AB62">
        <v>4</v>
      </c>
      <c r="AC62">
        <v>0</v>
      </c>
      <c r="AD62">
        <v>0</v>
      </c>
      <c r="AE62">
        <v>0.47058823529411764</v>
      </c>
      <c r="AF62">
        <v>0.41176470588235292</v>
      </c>
      <c r="AG62">
        <v>0.23529411764705882</v>
      </c>
      <c r="AH62">
        <v>0</v>
      </c>
      <c r="AI62">
        <v>0</v>
      </c>
    </row>
    <row r="63" spans="1:35" x14ac:dyDescent="0.25">
      <c r="A63">
        <v>2025</v>
      </c>
      <c r="B63" t="s">
        <v>117</v>
      </c>
      <c r="C63" t="s">
        <v>114</v>
      </c>
      <c r="D63" t="str" cm="1">
        <f t="array" ref="D63">_xlfn.XLOOKUP(1,('26 WR'!A:A=E63)*('26 WR'!B:B=F63),'26 WR'!C:C)</f>
        <v>Quinshon Judkins</v>
      </c>
      <c r="E63" t="s">
        <v>23</v>
      </c>
      <c r="F63">
        <v>22</v>
      </c>
      <c r="G63">
        <f>VLOOKUP(B63,[2]FantasyPros_2025_Overall_ADP_Ra!$B$2:$E$416,4,FALSE)</f>
        <v>60</v>
      </c>
      <c r="H63">
        <v>7.9</v>
      </c>
      <c r="I63">
        <v>9.1999999999999993</v>
      </c>
      <c r="J63">
        <v>13.9</v>
      </c>
      <c r="K63">
        <v>10.6</v>
      </c>
      <c r="L63">
        <v>14.8</v>
      </c>
      <c r="M63">
        <v>6.7</v>
      </c>
      <c r="N63">
        <v>12.1</v>
      </c>
      <c r="O63">
        <v>6.3</v>
      </c>
      <c r="P63">
        <v>7.8</v>
      </c>
      <c r="Q63">
        <v>0</v>
      </c>
      <c r="R63">
        <v>5.6</v>
      </c>
      <c r="S63">
        <v>8.1</v>
      </c>
      <c r="T63">
        <v>5.3</v>
      </c>
      <c r="U63">
        <v>28.1</v>
      </c>
      <c r="V63">
        <v>185.8</v>
      </c>
      <c r="W63">
        <v>10.9</v>
      </c>
      <c r="X63">
        <v>5</v>
      </c>
      <c r="Y63">
        <v>1</v>
      </c>
      <c r="Z63">
        <v>8</v>
      </c>
      <c r="AA63">
        <v>2</v>
      </c>
      <c r="AB63">
        <v>1</v>
      </c>
      <c r="AC63">
        <v>1</v>
      </c>
      <c r="AD63">
        <v>0</v>
      </c>
      <c r="AE63">
        <v>0.47058823529411764</v>
      </c>
      <c r="AF63">
        <v>0.11764705882352941</v>
      </c>
      <c r="AG63">
        <v>5.8823529411764705E-2</v>
      </c>
      <c r="AH63">
        <v>5.8823529411764705E-2</v>
      </c>
      <c r="AI63">
        <v>0</v>
      </c>
    </row>
    <row r="64" spans="1:35" x14ac:dyDescent="0.25">
      <c r="A64">
        <v>2025</v>
      </c>
      <c r="B64" t="s">
        <v>120</v>
      </c>
      <c r="C64" t="s">
        <v>110</v>
      </c>
      <c r="D64" t="str" cm="1">
        <f t="array" ref="D64">_xlfn.XLOOKUP(1,('26 WR'!A:A=E64)*('26 WR'!B:B=F64),'26 WR'!C:C)</f>
        <v>D'Andre Swift</v>
      </c>
      <c r="E64" t="s">
        <v>23</v>
      </c>
      <c r="F64">
        <v>23</v>
      </c>
      <c r="G64">
        <f>VLOOKUP(B64,[2]FantasyPros_2025_Overall_ADP_Ra!$B$2:$E$416,4,FALSE)</f>
        <v>63</v>
      </c>
      <c r="H64">
        <v>9.5</v>
      </c>
      <c r="I64">
        <v>13.9</v>
      </c>
      <c r="J64">
        <v>10.8</v>
      </c>
      <c r="K64">
        <v>16</v>
      </c>
      <c r="L64">
        <v>0</v>
      </c>
      <c r="M64">
        <v>25.5</v>
      </c>
      <c r="N64">
        <v>20.8</v>
      </c>
      <c r="O64">
        <v>15.1</v>
      </c>
      <c r="P64">
        <v>0</v>
      </c>
      <c r="Q64">
        <v>14.8</v>
      </c>
      <c r="R64">
        <v>9</v>
      </c>
      <c r="S64">
        <v>1.9</v>
      </c>
      <c r="T64">
        <v>20.8</v>
      </c>
      <c r="U64">
        <v>11.2</v>
      </c>
      <c r="V64">
        <v>228.6</v>
      </c>
      <c r="W64">
        <v>14.3</v>
      </c>
      <c r="X64">
        <v>6</v>
      </c>
      <c r="Y64">
        <v>1</v>
      </c>
      <c r="Z64">
        <v>11</v>
      </c>
      <c r="AA64">
        <v>7</v>
      </c>
      <c r="AB64">
        <v>5</v>
      </c>
      <c r="AC64">
        <v>1</v>
      </c>
      <c r="AD64">
        <v>0</v>
      </c>
      <c r="AE64">
        <v>0.6470588235294118</v>
      </c>
      <c r="AF64">
        <v>0.4375</v>
      </c>
      <c r="AG64">
        <v>0.3125</v>
      </c>
      <c r="AH64">
        <v>6.25E-2</v>
      </c>
      <c r="AI64">
        <v>0</v>
      </c>
    </row>
    <row r="65" spans="1:35" x14ac:dyDescent="0.25">
      <c r="A65">
        <v>2025</v>
      </c>
      <c r="B65" t="s">
        <v>122</v>
      </c>
      <c r="C65" t="s">
        <v>85</v>
      </c>
      <c r="D65" t="str" cm="1">
        <f t="array" ref="D65">_xlfn.XLOOKUP(1,('26 WR'!A:A=E65)*('26 WR'!B:B=F65),'26 WR'!C:C)</f>
        <v>David Montgomery</v>
      </c>
      <c r="E65" t="s">
        <v>23</v>
      </c>
      <c r="F65">
        <v>24</v>
      </c>
      <c r="G65">
        <f>VLOOKUP(B65,[2]FantasyPros_2025_Overall_ADP_Ra!$B$2:$E$416,4,FALSE)</f>
        <v>65</v>
      </c>
      <c r="H65">
        <v>4.8</v>
      </c>
      <c r="I65">
        <v>3.9</v>
      </c>
      <c r="J65">
        <v>5.8</v>
      </c>
      <c r="K65">
        <v>12.8</v>
      </c>
      <c r="L65">
        <v>8.6</v>
      </c>
      <c r="M65">
        <v>6.1</v>
      </c>
      <c r="N65">
        <v>12.4</v>
      </c>
      <c r="O65">
        <v>5.8</v>
      </c>
      <c r="P65">
        <v>0</v>
      </c>
      <c r="Q65">
        <v>0</v>
      </c>
      <c r="R65">
        <v>0</v>
      </c>
      <c r="S65">
        <v>0</v>
      </c>
      <c r="T65">
        <v>5.3</v>
      </c>
      <c r="U65">
        <v>3</v>
      </c>
      <c r="V65">
        <v>87.3</v>
      </c>
      <c r="W65">
        <v>6.7</v>
      </c>
      <c r="X65">
        <v>6</v>
      </c>
      <c r="Y65">
        <v>1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0.17647058823529413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>
        <v>2025</v>
      </c>
      <c r="B66" t="s">
        <v>127</v>
      </c>
      <c r="C66" t="s">
        <v>37</v>
      </c>
      <c r="D66" t="str" cm="1">
        <f t="array" ref="D66">_xlfn.XLOOKUP(1,('26 WR'!A:A=E66)*('26 WR'!B:B=F66),'26 WR'!C:C)</f>
        <v>Jaylen Warren</v>
      </c>
      <c r="E66" t="s">
        <v>23</v>
      </c>
      <c r="F66">
        <v>25</v>
      </c>
      <c r="G66">
        <f>VLOOKUP(B66,[2]FantasyPros_2025_Overall_ADP_Ra!$B$2:$E$416,4,FALSE)</f>
        <v>71</v>
      </c>
      <c r="H66">
        <v>8.3000000000000007</v>
      </c>
      <c r="I66">
        <v>13.1</v>
      </c>
      <c r="J66">
        <v>29.4</v>
      </c>
      <c r="K66">
        <v>1.2</v>
      </c>
      <c r="L66">
        <v>18.2</v>
      </c>
      <c r="M66">
        <v>8.1</v>
      </c>
      <c r="N66">
        <v>5.9</v>
      </c>
      <c r="O66">
        <v>0</v>
      </c>
      <c r="P66">
        <v>11</v>
      </c>
      <c r="Q66">
        <v>10.1</v>
      </c>
      <c r="R66">
        <v>4.7</v>
      </c>
      <c r="S66">
        <v>6.7</v>
      </c>
      <c r="T66">
        <v>12.8</v>
      </c>
      <c r="U66">
        <v>14.3</v>
      </c>
      <c r="V66">
        <v>166.9</v>
      </c>
      <c r="W66">
        <v>9.8000000000000007</v>
      </c>
      <c r="X66">
        <v>6</v>
      </c>
      <c r="Y66">
        <v>1</v>
      </c>
      <c r="Z66">
        <v>7</v>
      </c>
      <c r="AA66">
        <v>2</v>
      </c>
      <c r="AB66">
        <v>1</v>
      </c>
      <c r="AC66">
        <v>1</v>
      </c>
      <c r="AD66">
        <v>0</v>
      </c>
      <c r="AE66">
        <v>0.41176470588235292</v>
      </c>
      <c r="AF66">
        <v>0.11764705882352941</v>
      </c>
      <c r="AG66">
        <v>5.8823529411764705E-2</v>
      </c>
      <c r="AH66">
        <v>5.8823529411764705E-2</v>
      </c>
      <c r="AI66">
        <v>0</v>
      </c>
    </row>
    <row r="67" spans="1:35" x14ac:dyDescent="0.25">
      <c r="A67">
        <v>2025</v>
      </c>
      <c r="B67" t="s">
        <v>133</v>
      </c>
      <c r="C67" t="s">
        <v>31</v>
      </c>
      <c r="D67" t="str" cm="1">
        <f t="array" ref="D67">_xlfn.XLOOKUP(1,('26 WR'!A:A=E67)*('26 WR'!B:B=F67),'26 WR'!C:C)</f>
        <v>Bhayshul Tuten</v>
      </c>
      <c r="E67" t="s">
        <v>23</v>
      </c>
      <c r="F67">
        <v>26</v>
      </c>
      <c r="G67">
        <f>VLOOKUP(B67,[2]FantasyPros_2025_Overall_ADP_Ra!$B$2:$E$416,4,FALSE)</f>
        <v>75</v>
      </c>
      <c r="H67">
        <v>15.7</v>
      </c>
      <c r="I67">
        <v>2.2999999999999998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5</v>
      </c>
      <c r="P67">
        <v>11.8</v>
      </c>
      <c r="Q67">
        <v>15.9</v>
      </c>
      <c r="R67">
        <v>11.1</v>
      </c>
      <c r="S67">
        <v>8.6999999999999993</v>
      </c>
      <c r="T67">
        <v>4.5</v>
      </c>
      <c r="U67">
        <v>7.6</v>
      </c>
      <c r="V67">
        <v>118.7</v>
      </c>
      <c r="W67">
        <v>9.9</v>
      </c>
      <c r="X67">
        <v>7</v>
      </c>
      <c r="Y67">
        <v>1</v>
      </c>
      <c r="Z67">
        <v>6</v>
      </c>
      <c r="AA67">
        <v>3</v>
      </c>
      <c r="AB67">
        <v>0</v>
      </c>
      <c r="AC67">
        <v>0</v>
      </c>
      <c r="AD67">
        <v>0</v>
      </c>
      <c r="AE67">
        <v>0.35294117647058826</v>
      </c>
      <c r="AF67">
        <v>0.25</v>
      </c>
      <c r="AG67">
        <v>0</v>
      </c>
      <c r="AH67">
        <v>0</v>
      </c>
      <c r="AI67">
        <v>0</v>
      </c>
    </row>
    <row r="68" spans="1:35" x14ac:dyDescent="0.25">
      <c r="A68">
        <v>2025</v>
      </c>
      <c r="B68" t="s">
        <v>141</v>
      </c>
      <c r="C68" t="s">
        <v>43</v>
      </c>
      <c r="D68" t="str" cm="1">
        <f t="array" ref="D68">_xlfn.XLOOKUP(1,('26 WR'!A:A=E68)*('26 WR'!B:B=F68),'26 WR'!C:C)</f>
        <v>Jadarian Price</v>
      </c>
      <c r="E68" t="s">
        <v>23</v>
      </c>
      <c r="F68">
        <v>27</v>
      </c>
      <c r="G68">
        <f>VLOOKUP(B68,[2]FantasyPros_2025_Overall_ADP_Ra!$B$2:$E$416,4,FALSE)</f>
        <v>81</v>
      </c>
      <c r="H68">
        <v>5.5</v>
      </c>
      <c r="I68">
        <v>9.1</v>
      </c>
      <c r="J68">
        <v>5.6</v>
      </c>
      <c r="K68">
        <v>0</v>
      </c>
      <c r="L68">
        <v>0</v>
      </c>
      <c r="M68">
        <v>0.6</v>
      </c>
      <c r="N68">
        <v>10.6</v>
      </c>
      <c r="O68">
        <v>7.3</v>
      </c>
      <c r="P68">
        <v>6.7</v>
      </c>
      <c r="Q68">
        <v>8.1</v>
      </c>
      <c r="R68">
        <v>17.899999999999999</v>
      </c>
      <c r="S68">
        <v>16</v>
      </c>
      <c r="T68">
        <v>4.3</v>
      </c>
      <c r="U68">
        <v>0</v>
      </c>
      <c r="V68">
        <v>160.80000000000001</v>
      </c>
      <c r="W68">
        <v>10.7</v>
      </c>
      <c r="X68">
        <v>7</v>
      </c>
      <c r="Y68">
        <v>1</v>
      </c>
      <c r="Z68">
        <v>5</v>
      </c>
      <c r="AA68">
        <v>4</v>
      </c>
      <c r="AB68">
        <v>2</v>
      </c>
      <c r="AC68">
        <v>1</v>
      </c>
      <c r="AD68">
        <v>0</v>
      </c>
      <c r="AE68">
        <v>0.29411764705882354</v>
      </c>
      <c r="AF68">
        <v>0.26666666666666666</v>
      </c>
      <c r="AG68">
        <v>0.13333333333333333</v>
      </c>
      <c r="AH68">
        <v>6.6666666666666666E-2</v>
      </c>
      <c r="AI68">
        <v>0</v>
      </c>
    </row>
    <row r="69" spans="1:35" x14ac:dyDescent="0.25">
      <c r="A69">
        <v>2025</v>
      </c>
      <c r="B69" t="s">
        <v>356</v>
      </c>
      <c r="C69" t="s">
        <v>80</v>
      </c>
      <c r="D69" t="str" cm="1">
        <f t="array" ref="D69">_xlfn.XLOOKUP(1,('26 WR'!A:A=E69)*('26 WR'!B:B=F69),'26 WR'!C:C)</f>
        <v>Chuba Hubbard</v>
      </c>
      <c r="E69" t="s">
        <v>23</v>
      </c>
      <c r="F69">
        <v>28</v>
      </c>
      <c r="G69">
        <v>82</v>
      </c>
      <c r="H69">
        <v>14.2</v>
      </c>
      <c r="I69">
        <v>1.7</v>
      </c>
      <c r="J69">
        <v>10.1</v>
      </c>
      <c r="K69">
        <v>7.7</v>
      </c>
      <c r="L69">
        <v>27</v>
      </c>
      <c r="M69">
        <v>5.8</v>
      </c>
      <c r="N69">
        <v>4.2</v>
      </c>
      <c r="O69">
        <v>2.5</v>
      </c>
      <c r="P69">
        <v>5.0999999999999996</v>
      </c>
      <c r="Q69">
        <v>3</v>
      </c>
      <c r="R69">
        <v>4.3</v>
      </c>
      <c r="S69">
        <v>0</v>
      </c>
      <c r="T69">
        <v>2</v>
      </c>
      <c r="U69">
        <v>3.2</v>
      </c>
      <c r="V69">
        <v>140.30000000000001</v>
      </c>
      <c r="W69">
        <v>8.3000000000000007</v>
      </c>
      <c r="X69">
        <v>7</v>
      </c>
      <c r="Y69">
        <v>1</v>
      </c>
      <c r="Z69">
        <v>5</v>
      </c>
      <c r="AA69">
        <v>3</v>
      </c>
      <c r="AB69">
        <v>2</v>
      </c>
      <c r="AC69">
        <v>1</v>
      </c>
      <c r="AD69">
        <v>0</v>
      </c>
      <c r="AE69">
        <v>0.29411764705882354</v>
      </c>
      <c r="AF69">
        <v>0.17647058823529413</v>
      </c>
      <c r="AG69">
        <v>0.11764705882352941</v>
      </c>
      <c r="AH69">
        <v>5.8823529411764705E-2</v>
      </c>
      <c r="AI69">
        <v>0</v>
      </c>
    </row>
    <row r="70" spans="1:35" x14ac:dyDescent="0.25">
      <c r="A70">
        <v>2025</v>
      </c>
      <c r="B70" t="s">
        <v>146</v>
      </c>
      <c r="C70" t="s">
        <v>31</v>
      </c>
      <c r="D70" t="str" cm="1">
        <f t="array" ref="D70">_xlfn.XLOOKUP(1,('26 WR'!A:A=E70)*('26 WR'!B:B=F70),'26 WR'!C:C)</f>
        <v>Rhamondre Stevenson</v>
      </c>
      <c r="E70" t="s">
        <v>23</v>
      </c>
      <c r="F70">
        <v>29</v>
      </c>
      <c r="G70">
        <f>VLOOKUP(B70,[2]FantasyPros_2025_Overall_ADP_Ra!$B$2:$E$416,4,FALSE)</f>
        <v>86</v>
      </c>
      <c r="H70">
        <v>8.5</v>
      </c>
      <c r="I70">
        <v>5.8</v>
      </c>
      <c r="J70">
        <v>23.6</v>
      </c>
      <c r="K70">
        <v>10.199999999999999</v>
      </c>
      <c r="L70">
        <v>12.6</v>
      </c>
      <c r="M70">
        <v>0</v>
      </c>
      <c r="N70">
        <v>11.7</v>
      </c>
      <c r="O70">
        <v>1.6</v>
      </c>
      <c r="P70">
        <v>4.7</v>
      </c>
      <c r="Q70">
        <v>4.0999999999999996</v>
      </c>
      <c r="R70">
        <v>10.5</v>
      </c>
      <c r="S70">
        <v>4.2</v>
      </c>
      <c r="T70">
        <v>5.8</v>
      </c>
      <c r="U70">
        <v>11.2</v>
      </c>
      <c r="V70">
        <v>128.9</v>
      </c>
      <c r="W70">
        <v>8.1</v>
      </c>
      <c r="X70">
        <v>8</v>
      </c>
      <c r="Y70">
        <v>1</v>
      </c>
      <c r="Z70">
        <v>6</v>
      </c>
      <c r="AA70">
        <v>1</v>
      </c>
      <c r="AB70">
        <v>1</v>
      </c>
      <c r="AC70">
        <v>0</v>
      </c>
      <c r="AD70">
        <v>0</v>
      </c>
      <c r="AE70">
        <v>0.35294117647058826</v>
      </c>
      <c r="AF70">
        <v>6.25E-2</v>
      </c>
      <c r="AG70">
        <v>6.25E-2</v>
      </c>
      <c r="AH70">
        <v>0</v>
      </c>
      <c r="AI70">
        <v>0</v>
      </c>
    </row>
    <row r="71" spans="1:35" x14ac:dyDescent="0.25">
      <c r="A71">
        <v>2025</v>
      </c>
      <c r="B71" t="s">
        <v>150</v>
      </c>
      <c r="C71" t="s">
        <v>108</v>
      </c>
      <c r="D71" t="str" cm="1">
        <f t="array" ref="D71">_xlfn.XLOOKUP(1,('26 WR'!A:A=E71)*('26 WR'!B:B=F71),'26 WR'!C:C)</f>
        <v>Tony Pollard</v>
      </c>
      <c r="E71" t="s">
        <v>23</v>
      </c>
      <c r="F71">
        <v>30</v>
      </c>
      <c r="G71">
        <f>VLOOKUP(B71,[2]FantasyPros_2025_Overall_ADP_Ra!$B$2:$E$416,4,FALSE)</f>
        <v>91</v>
      </c>
      <c r="H71">
        <v>13.9</v>
      </c>
      <c r="I71">
        <v>17.399999999999999</v>
      </c>
      <c r="J71">
        <v>13.1</v>
      </c>
      <c r="K71">
        <v>0</v>
      </c>
      <c r="L71">
        <v>0</v>
      </c>
      <c r="M71">
        <v>8.3000000000000007</v>
      </c>
      <c r="N71">
        <v>19.8</v>
      </c>
      <c r="O71">
        <v>9.3000000000000007</v>
      </c>
      <c r="P71">
        <v>16.899999999999999</v>
      </c>
      <c r="Q71">
        <v>11.1</v>
      </c>
      <c r="R71">
        <v>8.6999999999999993</v>
      </c>
      <c r="S71">
        <v>12.8</v>
      </c>
      <c r="T71">
        <v>12.4</v>
      </c>
      <c r="U71">
        <v>15.2</v>
      </c>
      <c r="V71">
        <v>217.1</v>
      </c>
      <c r="W71">
        <v>13.6</v>
      </c>
      <c r="X71">
        <v>8</v>
      </c>
      <c r="Y71">
        <v>1</v>
      </c>
      <c r="Z71">
        <v>11</v>
      </c>
      <c r="AA71">
        <v>5</v>
      </c>
      <c r="AB71">
        <v>1</v>
      </c>
      <c r="AC71">
        <v>1</v>
      </c>
      <c r="AD71">
        <v>0</v>
      </c>
      <c r="AE71">
        <v>0.6470588235294118</v>
      </c>
      <c r="AF71">
        <v>0.3125</v>
      </c>
      <c r="AG71">
        <v>6.25E-2</v>
      </c>
      <c r="AH71">
        <v>6.25E-2</v>
      </c>
      <c r="AI71">
        <v>0</v>
      </c>
    </row>
    <row r="72" spans="1:35" x14ac:dyDescent="0.25">
      <c r="A72">
        <v>2025</v>
      </c>
      <c r="B72" t="s">
        <v>153</v>
      </c>
      <c r="C72" t="s">
        <v>74</v>
      </c>
      <c r="D72" t="str" cm="1">
        <f t="array" ref="D72">_xlfn.XLOOKUP(1,('26 WR'!A:A=E72)*('26 WR'!B:B=F72),'26 WR'!C:C)</f>
        <v>RJ Harvey</v>
      </c>
      <c r="E72" t="s">
        <v>23</v>
      </c>
      <c r="F72">
        <v>31</v>
      </c>
      <c r="G72">
        <f>VLOOKUP(B72,[2]FantasyPros_2025_Overall_ADP_Ra!$B$2:$E$416,4,FALSE)</f>
        <v>93</v>
      </c>
      <c r="H72">
        <v>10.7</v>
      </c>
      <c r="I72">
        <v>1</v>
      </c>
      <c r="J72">
        <v>0</v>
      </c>
      <c r="K72">
        <v>12.4</v>
      </c>
      <c r="L72">
        <v>11.8</v>
      </c>
      <c r="M72">
        <v>4.7</v>
      </c>
      <c r="N72">
        <v>19.5</v>
      </c>
      <c r="O72">
        <v>0</v>
      </c>
      <c r="P72">
        <v>5.6</v>
      </c>
      <c r="Q72">
        <v>14.3</v>
      </c>
      <c r="R72">
        <v>6.7</v>
      </c>
      <c r="S72">
        <v>9.5</v>
      </c>
      <c r="T72">
        <v>11.2</v>
      </c>
      <c r="U72">
        <v>8.6</v>
      </c>
      <c r="V72">
        <v>181.4</v>
      </c>
      <c r="W72">
        <v>11.3</v>
      </c>
      <c r="X72">
        <v>8</v>
      </c>
      <c r="Y72">
        <v>1</v>
      </c>
      <c r="Z72">
        <v>9</v>
      </c>
      <c r="AA72">
        <v>4</v>
      </c>
      <c r="AB72">
        <v>1</v>
      </c>
      <c r="AC72">
        <v>1</v>
      </c>
      <c r="AD72">
        <v>0</v>
      </c>
      <c r="AE72">
        <v>0.52941176470588236</v>
      </c>
      <c r="AF72">
        <v>0.25</v>
      </c>
      <c r="AG72">
        <v>6.25E-2</v>
      </c>
      <c r="AH72">
        <v>6.25E-2</v>
      </c>
      <c r="AI72">
        <v>0</v>
      </c>
    </row>
    <row r="73" spans="1:35" x14ac:dyDescent="0.25">
      <c r="A73">
        <v>2025</v>
      </c>
      <c r="B73" t="s">
        <v>159</v>
      </c>
      <c r="C73" t="s">
        <v>51</v>
      </c>
      <c r="D73" t="str" cm="1">
        <f t="array" ref="D73">_xlfn.XLOOKUP(1,('26 WR'!A:A=E73)*('26 WR'!B:B=F73),'26 WR'!C:C)</f>
        <v>Rico Dowdle</v>
      </c>
      <c r="E73" t="s">
        <v>23</v>
      </c>
      <c r="F73">
        <v>32</v>
      </c>
      <c r="G73">
        <f>VLOOKUP(B73,[2]FantasyPros_2025_Overall_ADP_Ra!$B$2:$E$416,4,FALSE)</f>
        <v>99</v>
      </c>
      <c r="H73">
        <v>18.600000000000001</v>
      </c>
      <c r="I73">
        <v>16.899999999999999</v>
      </c>
      <c r="J73">
        <v>11.6</v>
      </c>
      <c r="K73">
        <v>19.5</v>
      </c>
      <c r="L73">
        <v>8.8000000000000007</v>
      </c>
      <c r="M73">
        <v>9.5</v>
      </c>
      <c r="N73">
        <v>6.5</v>
      </c>
      <c r="O73">
        <v>0</v>
      </c>
      <c r="P73">
        <v>16.5</v>
      </c>
      <c r="Q73">
        <v>15.7</v>
      </c>
      <c r="R73">
        <v>19.3</v>
      </c>
      <c r="S73">
        <v>20.6</v>
      </c>
      <c r="T73">
        <v>5.0999999999999996</v>
      </c>
      <c r="U73">
        <v>21.2</v>
      </c>
      <c r="V73">
        <v>253.9</v>
      </c>
      <c r="W73">
        <v>14.9</v>
      </c>
      <c r="X73">
        <v>9</v>
      </c>
      <c r="Y73">
        <v>1</v>
      </c>
      <c r="Z73">
        <v>12</v>
      </c>
      <c r="AA73">
        <v>10</v>
      </c>
      <c r="AB73">
        <v>3</v>
      </c>
      <c r="AC73">
        <v>1</v>
      </c>
      <c r="AD73">
        <v>1</v>
      </c>
      <c r="AE73">
        <v>0.70588235294117652</v>
      </c>
      <c r="AF73">
        <v>0.58823529411764708</v>
      </c>
      <c r="AG73">
        <v>0.17647058823529413</v>
      </c>
      <c r="AH73">
        <v>5.8823529411764705E-2</v>
      </c>
      <c r="AI73">
        <v>5.8823529411764705E-2</v>
      </c>
    </row>
    <row r="74" spans="1:35" x14ac:dyDescent="0.25">
      <c r="A74">
        <v>2025</v>
      </c>
      <c r="B74" t="s">
        <v>160</v>
      </c>
      <c r="C74" t="s">
        <v>98</v>
      </c>
      <c r="D74" t="str" cm="1">
        <f t="array" ref="D74">_xlfn.XLOOKUP(1,('26 WR'!A:A=E74)*('26 WR'!B:B=F74),'26 WR'!C:C)</f>
        <v>Kenny Gainwell</v>
      </c>
      <c r="E74" t="s">
        <v>23</v>
      </c>
      <c r="F74">
        <v>33</v>
      </c>
      <c r="G74">
        <f>VLOOKUP(B74,[2]FantasyPros_2025_Overall_ADP_Ra!$B$2:$E$416,4,FALSE)</f>
        <v>100</v>
      </c>
      <c r="H74">
        <v>14.8</v>
      </c>
      <c r="I74">
        <v>15.5</v>
      </c>
      <c r="J74">
        <v>15.3</v>
      </c>
      <c r="K74">
        <v>11.5</v>
      </c>
      <c r="L74">
        <v>15.4</v>
      </c>
      <c r="M74">
        <v>4</v>
      </c>
      <c r="N74">
        <v>9</v>
      </c>
      <c r="O74">
        <v>14.1</v>
      </c>
      <c r="P74">
        <v>6.9</v>
      </c>
      <c r="Q74">
        <v>9.4</v>
      </c>
      <c r="R74">
        <v>0</v>
      </c>
      <c r="S74">
        <v>0</v>
      </c>
      <c r="T74">
        <v>0</v>
      </c>
      <c r="U74">
        <v>0</v>
      </c>
      <c r="V74">
        <v>115.9</v>
      </c>
      <c r="W74">
        <v>11.6</v>
      </c>
      <c r="X74">
        <v>9</v>
      </c>
      <c r="Y74">
        <v>1</v>
      </c>
      <c r="Z74">
        <v>6</v>
      </c>
      <c r="AA74">
        <v>3</v>
      </c>
      <c r="AB74">
        <v>0</v>
      </c>
      <c r="AC74">
        <v>0</v>
      </c>
      <c r="AD74">
        <v>0</v>
      </c>
      <c r="AE74">
        <v>0.35294117647058826</v>
      </c>
      <c r="AF74">
        <v>0.3</v>
      </c>
      <c r="AG74">
        <v>0</v>
      </c>
      <c r="AH74">
        <v>0</v>
      </c>
      <c r="AI74">
        <v>0</v>
      </c>
    </row>
    <row r="75" spans="1:35" x14ac:dyDescent="0.25">
      <c r="A75">
        <v>2025</v>
      </c>
      <c r="B75" t="s">
        <v>169</v>
      </c>
      <c r="C75" t="s">
        <v>35</v>
      </c>
      <c r="D75" t="str" cm="1">
        <f t="array" ref="D75">_xlfn.XLOOKUP(1,('26 WR'!A:A=E75)*('26 WR'!B:B=F75),'26 WR'!C:C)</f>
        <v>Kyle Monangai</v>
      </c>
      <c r="E75" t="s">
        <v>23</v>
      </c>
      <c r="F75">
        <v>34</v>
      </c>
      <c r="G75">
        <f>VLOOKUP(B75,[2]FantasyPros_2025_Overall_ADP_Ra!$B$2:$E$416,4,FALSE)</f>
        <v>106</v>
      </c>
      <c r="H75">
        <v>20.399999999999999</v>
      </c>
      <c r="I75">
        <v>25</v>
      </c>
      <c r="J75">
        <v>12.2</v>
      </c>
      <c r="K75">
        <v>19</v>
      </c>
      <c r="L75">
        <v>26.9</v>
      </c>
      <c r="M75">
        <v>8.4</v>
      </c>
      <c r="N75">
        <v>18.8</v>
      </c>
      <c r="O75">
        <v>17.899999999999999</v>
      </c>
      <c r="P75">
        <v>7.3</v>
      </c>
      <c r="Q75">
        <v>0</v>
      </c>
      <c r="R75">
        <v>10.3</v>
      </c>
      <c r="S75">
        <v>12.1</v>
      </c>
      <c r="T75">
        <v>17</v>
      </c>
      <c r="U75">
        <v>14.7</v>
      </c>
      <c r="V75">
        <v>242.8</v>
      </c>
      <c r="W75">
        <v>15.2</v>
      </c>
      <c r="X75">
        <v>9</v>
      </c>
      <c r="Y75">
        <v>1</v>
      </c>
      <c r="Z75">
        <v>13</v>
      </c>
      <c r="AA75">
        <v>8</v>
      </c>
      <c r="AB75">
        <v>3</v>
      </c>
      <c r="AC75">
        <v>1</v>
      </c>
      <c r="AD75">
        <v>0</v>
      </c>
      <c r="AE75">
        <v>0.76470588235294112</v>
      </c>
      <c r="AF75">
        <v>0.5</v>
      </c>
      <c r="AG75">
        <v>0.1875</v>
      </c>
      <c r="AH75">
        <v>6.25E-2</v>
      </c>
      <c r="AI75">
        <v>0</v>
      </c>
    </row>
    <row r="76" spans="1:35" x14ac:dyDescent="0.25">
      <c r="A76">
        <v>2025</v>
      </c>
      <c r="B76" t="s">
        <v>165</v>
      </c>
      <c r="C76" t="s">
        <v>39</v>
      </c>
      <c r="D76" t="str" cm="1">
        <f t="array" ref="D76">_xlfn.XLOOKUP(1,('26 WR'!A:A=E76)*('26 WR'!B:B=F76),'26 WR'!C:C)</f>
        <v>J.K. Dobbins</v>
      </c>
      <c r="E76" t="s">
        <v>23</v>
      </c>
      <c r="F76">
        <v>35</v>
      </c>
      <c r="G76">
        <f>VLOOKUP(B76,[2]FantasyPros_2025_Overall_ADP_Ra!$B$2:$E$416,4,FALSE)</f>
        <v>112</v>
      </c>
      <c r="H76">
        <v>6</v>
      </c>
      <c r="I76">
        <v>15.2</v>
      </c>
      <c r="J76">
        <v>7</v>
      </c>
      <c r="K76">
        <v>8.1999999999999993</v>
      </c>
      <c r="L76">
        <v>12.1</v>
      </c>
      <c r="M76">
        <v>0</v>
      </c>
      <c r="N76">
        <v>2.1</v>
      </c>
      <c r="O76">
        <v>8.9</v>
      </c>
      <c r="P76">
        <v>3.4</v>
      </c>
      <c r="Q76">
        <v>6.2</v>
      </c>
      <c r="R76">
        <v>1.7</v>
      </c>
      <c r="S76">
        <v>2.5</v>
      </c>
      <c r="T76">
        <v>9.4</v>
      </c>
      <c r="U76">
        <v>0.3</v>
      </c>
      <c r="V76">
        <v>88.3</v>
      </c>
      <c r="W76">
        <v>5.9</v>
      </c>
      <c r="X76">
        <v>10</v>
      </c>
      <c r="Y76">
        <v>1</v>
      </c>
      <c r="Z76">
        <v>2</v>
      </c>
      <c r="AA76">
        <v>1</v>
      </c>
      <c r="AB76">
        <v>0</v>
      </c>
      <c r="AC76">
        <v>0</v>
      </c>
      <c r="AD76">
        <v>0</v>
      </c>
      <c r="AE76">
        <v>0.11764705882352941</v>
      </c>
      <c r="AF76">
        <v>6.6666666666666666E-2</v>
      </c>
      <c r="AG76">
        <v>0</v>
      </c>
      <c r="AH76">
        <v>0</v>
      </c>
      <c r="AI76">
        <v>0</v>
      </c>
    </row>
    <row r="77" spans="1:35" x14ac:dyDescent="0.25">
      <c r="A77">
        <v>2025</v>
      </c>
      <c r="B77" t="s">
        <v>180</v>
      </c>
      <c r="C77" t="s">
        <v>43</v>
      </c>
      <c r="D77" t="str" cm="1">
        <f t="array" ref="D77">_xlfn.XLOOKUP(1,('26 WR'!A:A=E77)*('26 WR'!B:B=F77),'26 WR'!C:C)</f>
        <v>Aaron Jones Sr.</v>
      </c>
      <c r="E77" t="s">
        <v>23</v>
      </c>
      <c r="F77">
        <v>36</v>
      </c>
      <c r="G77">
        <f>VLOOKUP(B77,[2]FantasyPros_2025_Overall_ADP_Ra!$B$2:$E$416,4,FALSE)</f>
        <v>119</v>
      </c>
      <c r="H77">
        <v>2.9</v>
      </c>
      <c r="I77">
        <v>13.9</v>
      </c>
      <c r="J77">
        <v>24.1</v>
      </c>
      <c r="K77">
        <v>13</v>
      </c>
      <c r="L77">
        <v>14.4</v>
      </c>
      <c r="M77">
        <v>31</v>
      </c>
      <c r="N77">
        <v>18.399999999999999</v>
      </c>
      <c r="O77">
        <v>10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127.7</v>
      </c>
      <c r="W77">
        <v>16</v>
      </c>
      <c r="X77">
        <v>10</v>
      </c>
      <c r="Y77">
        <v>1</v>
      </c>
      <c r="Z77">
        <v>6</v>
      </c>
      <c r="AA77">
        <v>3</v>
      </c>
      <c r="AB77">
        <v>2</v>
      </c>
      <c r="AC77">
        <v>1</v>
      </c>
      <c r="AD77">
        <v>1</v>
      </c>
      <c r="AE77">
        <v>0.35294117647058826</v>
      </c>
      <c r="AF77">
        <v>0.375</v>
      </c>
      <c r="AG77">
        <v>0.25</v>
      </c>
      <c r="AH77">
        <v>0.125</v>
      </c>
      <c r="AI77">
        <v>0.125</v>
      </c>
    </row>
    <row r="78" spans="1:35" x14ac:dyDescent="0.25">
      <c r="A78">
        <v>2025</v>
      </c>
      <c r="B78" t="s">
        <v>198</v>
      </c>
      <c r="C78" t="s">
        <v>90</v>
      </c>
      <c r="D78" t="str" cm="1">
        <f t="array" ref="D78">_xlfn.XLOOKUP(1,('26 WR'!A:A=E78)*('26 WR'!B:B=F78),'26 WR'!C:C)</f>
        <v>Blake Corum</v>
      </c>
      <c r="E78" t="s">
        <v>23</v>
      </c>
      <c r="F78">
        <v>37</v>
      </c>
      <c r="G78">
        <f>VLOOKUP(B78,[2]FantasyPros_2025_Overall_ADP_Ra!$B$2:$E$416,4,FALSE)</f>
        <v>122</v>
      </c>
      <c r="H78">
        <v>6.9</v>
      </c>
      <c r="I78">
        <v>1.1000000000000001</v>
      </c>
      <c r="J78">
        <v>6.7</v>
      </c>
      <c r="K78">
        <v>0.6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15.3</v>
      </c>
      <c r="W78">
        <v>3.8</v>
      </c>
      <c r="X78">
        <v>20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>
        <v>2025</v>
      </c>
      <c r="B79" t="s">
        <v>228</v>
      </c>
      <c r="C79" t="s">
        <v>26</v>
      </c>
      <c r="D79" t="str" cm="1">
        <f t="array" ref="D79">_xlfn.XLOOKUP(1,('26 WR'!A:A=E79)*('26 WR'!B:B=F79),'26 WR'!C:C)</f>
        <v>Rachaad White</v>
      </c>
      <c r="E79" t="s">
        <v>23</v>
      </c>
      <c r="F79">
        <v>38</v>
      </c>
      <c r="G79">
        <f>VLOOKUP(B79,[2]FantasyPros_2025_Overall_ADP_Ra!$B$2:$E$416,4,FALSE)</f>
        <v>128</v>
      </c>
      <c r="H79">
        <v>4.7</v>
      </c>
      <c r="I79">
        <v>2.9</v>
      </c>
      <c r="J79">
        <v>2.2000000000000002</v>
      </c>
      <c r="K79">
        <v>2.1</v>
      </c>
      <c r="L79">
        <v>1.2</v>
      </c>
      <c r="M79">
        <v>3.8</v>
      </c>
      <c r="N79">
        <v>3.6</v>
      </c>
      <c r="O79">
        <v>0</v>
      </c>
      <c r="P79">
        <v>11.3</v>
      </c>
      <c r="Q79">
        <v>11.5</v>
      </c>
      <c r="R79">
        <v>2.4</v>
      </c>
      <c r="S79">
        <v>5.4</v>
      </c>
      <c r="T79">
        <v>2.6</v>
      </c>
      <c r="U79">
        <v>0</v>
      </c>
      <c r="V79">
        <v>62.5</v>
      </c>
      <c r="W79">
        <v>3.7</v>
      </c>
      <c r="X79">
        <v>11</v>
      </c>
      <c r="Y79">
        <v>1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0.11764705882352941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2025</v>
      </c>
      <c r="B80" t="s">
        <v>284</v>
      </c>
      <c r="C80" t="s">
        <v>59</v>
      </c>
      <c r="D80" t="str" cm="1">
        <f t="array" ref="D80">_xlfn.XLOOKUP(1,('26 WR'!A:A=E80)*('26 WR'!B:B=F80),'26 WR'!C:C)</f>
        <v>Jacory Croskey-Merritt</v>
      </c>
      <c r="E80" t="s">
        <v>23</v>
      </c>
      <c r="F80">
        <v>39</v>
      </c>
      <c r="G80">
        <f>VLOOKUP(B80,[2]FantasyPros_2025_Overall_ADP_Ra!$B$2:$E$416,4,FALSE)</f>
        <v>131</v>
      </c>
      <c r="H80">
        <v>1.3</v>
      </c>
      <c r="I80">
        <v>2.2999999999999998</v>
      </c>
      <c r="J80">
        <v>9.8000000000000007</v>
      </c>
      <c r="K80">
        <v>1</v>
      </c>
      <c r="L80">
        <v>0.2</v>
      </c>
      <c r="M80">
        <v>1.2</v>
      </c>
      <c r="N80">
        <v>2.2999999999999998</v>
      </c>
      <c r="O80">
        <v>13.6</v>
      </c>
      <c r="P80">
        <v>1.9</v>
      </c>
      <c r="Q80">
        <v>0.3</v>
      </c>
      <c r="R80">
        <v>10.5</v>
      </c>
      <c r="S80">
        <v>0</v>
      </c>
      <c r="T80">
        <v>1</v>
      </c>
      <c r="U80">
        <v>7.7</v>
      </c>
      <c r="V80">
        <v>54.1</v>
      </c>
      <c r="W80">
        <v>3.2</v>
      </c>
      <c r="X80">
        <v>11</v>
      </c>
      <c r="Y80">
        <v>1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0.11764705882352941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>
        <v>2025</v>
      </c>
      <c r="B81" t="s">
        <v>289</v>
      </c>
      <c r="C81" t="s">
        <v>33</v>
      </c>
      <c r="D81" t="str" cm="1">
        <f t="array" ref="D81">_xlfn.XLOOKUP(1,('26 WR'!A:A=E81)*('26 WR'!B:B=F81),'26 WR'!C:C)</f>
        <v>Tyrone Tracy Jr.</v>
      </c>
      <c r="E81" t="s">
        <v>23</v>
      </c>
      <c r="F81">
        <v>40</v>
      </c>
      <c r="G81">
        <f>VLOOKUP(B81,[2]FantasyPros_2025_Overall_ADP_Ra!$B$2:$E$416,4,FALSE)</f>
        <v>133</v>
      </c>
      <c r="H81">
        <v>1.2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10.4</v>
      </c>
      <c r="P81">
        <v>0</v>
      </c>
      <c r="Q81">
        <v>0.7</v>
      </c>
      <c r="R81">
        <v>3.4</v>
      </c>
      <c r="S81">
        <v>0.8</v>
      </c>
      <c r="T81">
        <v>0</v>
      </c>
      <c r="U81">
        <v>0.4</v>
      </c>
      <c r="V81">
        <v>53.8</v>
      </c>
      <c r="W81">
        <v>3.4</v>
      </c>
      <c r="X81">
        <v>12</v>
      </c>
      <c r="Y81">
        <v>1</v>
      </c>
      <c r="Z81">
        <v>2</v>
      </c>
      <c r="AA81">
        <v>1</v>
      </c>
      <c r="AB81">
        <v>0</v>
      </c>
      <c r="AC81">
        <v>0</v>
      </c>
      <c r="AD81">
        <v>0</v>
      </c>
      <c r="AE81">
        <v>0.11764705882352941</v>
      </c>
      <c r="AF81">
        <v>6.25E-2</v>
      </c>
      <c r="AG81">
        <v>0</v>
      </c>
      <c r="AH81">
        <v>0</v>
      </c>
      <c r="AI81">
        <v>0</v>
      </c>
    </row>
    <row r="82" spans="1:35" x14ac:dyDescent="0.25">
      <c r="A82">
        <v>2025</v>
      </c>
      <c r="B82" t="s">
        <v>298</v>
      </c>
      <c r="C82" t="s">
        <v>132</v>
      </c>
      <c r="D82" t="str" cm="1">
        <f t="array" ref="D82">_xlfn.XLOOKUP(1,('26 WR'!A:A=E82)*('26 WR'!B:B=F82),'26 WR'!C:C)</f>
        <v>Jordan Mason</v>
      </c>
      <c r="E82" t="s">
        <v>23</v>
      </c>
      <c r="F82">
        <v>41</v>
      </c>
      <c r="G82">
        <f>VLOOKUP(B82,[2]FantasyPros_2025_Overall_ADP_Ra!$B$2:$E$416,4,FALSE)</f>
        <v>136</v>
      </c>
      <c r="H82">
        <v>0</v>
      </c>
      <c r="I82">
        <v>10.1</v>
      </c>
      <c r="J82">
        <v>16.5</v>
      </c>
      <c r="K82">
        <v>21.5</v>
      </c>
      <c r="L82">
        <v>13.8</v>
      </c>
      <c r="M82">
        <v>3.6</v>
      </c>
      <c r="N82">
        <v>26.4</v>
      </c>
      <c r="O82">
        <v>4.7</v>
      </c>
      <c r="P82">
        <v>0</v>
      </c>
      <c r="Q82">
        <v>10.5</v>
      </c>
      <c r="R82">
        <v>5.9</v>
      </c>
      <c r="S82">
        <v>16.7</v>
      </c>
      <c r="T82">
        <v>15.9</v>
      </c>
      <c r="U82">
        <v>9.4</v>
      </c>
      <c r="V82">
        <v>169.8</v>
      </c>
      <c r="W82">
        <v>12.1</v>
      </c>
      <c r="X82">
        <v>12</v>
      </c>
      <c r="Y82">
        <v>1</v>
      </c>
      <c r="Z82">
        <v>9</v>
      </c>
      <c r="AA82">
        <v>5</v>
      </c>
      <c r="AB82">
        <v>2</v>
      </c>
      <c r="AC82">
        <v>1</v>
      </c>
      <c r="AD82">
        <v>0</v>
      </c>
      <c r="AE82">
        <v>0.52941176470588236</v>
      </c>
      <c r="AF82">
        <v>0.35714285714285715</v>
      </c>
      <c r="AG82">
        <v>0.14285714285714285</v>
      </c>
      <c r="AH82">
        <v>7.1428571428571425E-2</v>
      </c>
      <c r="AI82">
        <v>0</v>
      </c>
    </row>
    <row r="83" spans="1:35" x14ac:dyDescent="0.25">
      <c r="A83">
        <v>2025</v>
      </c>
      <c r="B83" t="s">
        <v>306</v>
      </c>
      <c r="C83" t="s">
        <v>78</v>
      </c>
      <c r="D83" t="str" cm="1">
        <f t="array" ref="D83">_xlfn.XLOOKUP(1,('26 WR'!A:A=E83)*('26 WR'!B:B=F83),'26 WR'!C:C)</f>
        <v>Woody Marks</v>
      </c>
      <c r="E83" t="s">
        <v>23</v>
      </c>
      <c r="F83">
        <v>42</v>
      </c>
      <c r="G83">
        <f>VLOOKUP(B83,[2]FantasyPros_2025_Overall_ADP_Ra!$B$2:$E$416,4,FALSE)</f>
        <v>139</v>
      </c>
      <c r="H83">
        <v>4.7</v>
      </c>
      <c r="I83">
        <v>21.2</v>
      </c>
      <c r="J83">
        <v>4.5999999999999996</v>
      </c>
      <c r="K83">
        <v>5.0999999999999996</v>
      </c>
      <c r="L83">
        <v>14.7</v>
      </c>
      <c r="M83">
        <v>1.8</v>
      </c>
      <c r="N83">
        <v>16.8</v>
      </c>
      <c r="O83">
        <v>5.9</v>
      </c>
      <c r="P83">
        <v>0</v>
      </c>
      <c r="Q83">
        <v>0</v>
      </c>
      <c r="R83">
        <v>0</v>
      </c>
      <c r="S83">
        <v>2</v>
      </c>
      <c r="T83">
        <v>11</v>
      </c>
      <c r="U83">
        <v>0</v>
      </c>
      <c r="V83">
        <v>178.8</v>
      </c>
      <c r="W83">
        <v>12.8</v>
      </c>
      <c r="X83">
        <v>12</v>
      </c>
      <c r="Y83">
        <v>1</v>
      </c>
      <c r="Z83">
        <v>8</v>
      </c>
      <c r="AA83">
        <v>5</v>
      </c>
      <c r="AB83">
        <v>3</v>
      </c>
      <c r="AC83">
        <v>2</v>
      </c>
      <c r="AD83">
        <v>1</v>
      </c>
      <c r="AE83">
        <v>0.47058823529411764</v>
      </c>
      <c r="AF83">
        <v>0.35714285714285715</v>
      </c>
      <c r="AG83">
        <v>0.21428571428571427</v>
      </c>
      <c r="AH83">
        <v>0.14285714285714285</v>
      </c>
      <c r="AI83">
        <v>7.1428571428571425E-2</v>
      </c>
    </row>
    <row r="84" spans="1:35" x14ac:dyDescent="0.25">
      <c r="A84">
        <v>2025</v>
      </c>
      <c r="B84" t="s">
        <v>314</v>
      </c>
      <c r="C84" t="s">
        <v>35</v>
      </c>
      <c r="D84" t="str" cm="1">
        <f t="array" ref="D84">_xlfn.XLOOKUP(1,('26 WR'!A:A=E84)*('26 WR'!B:B=F84),'26 WR'!C:C)</f>
        <v>Tyler Allgeier</v>
      </c>
      <c r="E84" t="s">
        <v>23</v>
      </c>
      <c r="F84">
        <v>43</v>
      </c>
      <c r="G84">
        <f>VLOOKUP(B84,[2]FantasyPros_2025_Overall_ADP_Ra!$B$2:$E$416,4,FALSE)</f>
        <v>142</v>
      </c>
      <c r="H84">
        <v>0</v>
      </c>
      <c r="I84">
        <v>0</v>
      </c>
      <c r="J84">
        <v>0</v>
      </c>
      <c r="K84">
        <v>0</v>
      </c>
      <c r="L84">
        <v>0.7</v>
      </c>
      <c r="M84">
        <v>0</v>
      </c>
      <c r="N84">
        <v>4.4000000000000004</v>
      </c>
      <c r="O84">
        <v>2.9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20.399999999999999</v>
      </c>
      <c r="W84">
        <v>4.0999999999999996</v>
      </c>
      <c r="X84">
        <v>20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5.8823529411764705E-2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>
        <v>2025</v>
      </c>
      <c r="B85" t="s">
        <v>316</v>
      </c>
      <c r="C85" t="s">
        <v>45</v>
      </c>
      <c r="D85" t="str" cm="1">
        <f t="array" ref="D85">_xlfn.XLOOKUP(1,('26 WR'!A:A=E85)*('26 WR'!B:B=F85),'26 WR'!C:C)</f>
        <v>Zach Charbonnet</v>
      </c>
      <c r="E85" t="s">
        <v>23</v>
      </c>
      <c r="F85">
        <v>44</v>
      </c>
      <c r="G85">
        <f>VLOOKUP(B85,[2]FantasyPros_2025_Overall_ADP_Ra!$B$2:$E$416,4,FALSE)</f>
        <v>143</v>
      </c>
      <c r="H85">
        <v>8.5</v>
      </c>
      <c r="I85">
        <v>8.4</v>
      </c>
      <c r="J85">
        <v>8.1</v>
      </c>
      <c r="K85">
        <v>10.4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35.4</v>
      </c>
      <c r="W85">
        <v>7.1</v>
      </c>
      <c r="X85">
        <v>20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5.8823529411764705E-2</v>
      </c>
      <c r="AF85">
        <v>0</v>
      </c>
      <c r="AG85">
        <v>0</v>
      </c>
      <c r="AH85">
        <v>0</v>
      </c>
      <c r="AI85">
        <v>0</v>
      </c>
    </row>
    <row r="86" spans="1:35" x14ac:dyDescent="0.25">
      <c r="A86">
        <v>2025</v>
      </c>
      <c r="B86" t="s">
        <v>318</v>
      </c>
      <c r="C86" t="s">
        <v>51</v>
      </c>
      <c r="D86" t="str" cm="1">
        <f t="array" ref="D86">_xlfn.XLOOKUP(1,('26 WR'!A:A=E86)*('26 WR'!B:B=F86),'26 WR'!C:C)</f>
        <v>Tyjae Spears</v>
      </c>
      <c r="E86" t="s">
        <v>23</v>
      </c>
      <c r="F86">
        <v>45</v>
      </c>
      <c r="G86">
        <f>VLOOKUP(B86,[2]FantasyPros_2025_Overall_ADP_Ra!$B$2:$E$416,4,FALSE)</f>
        <v>144</v>
      </c>
      <c r="H86">
        <v>1.1000000000000001</v>
      </c>
      <c r="I86">
        <v>15.4</v>
      </c>
      <c r="J86">
        <v>8.1</v>
      </c>
      <c r="K86">
        <v>3.2</v>
      </c>
      <c r="L86">
        <v>2.1</v>
      </c>
      <c r="M86">
        <v>4.8</v>
      </c>
      <c r="N86">
        <v>2.2000000000000002</v>
      </c>
      <c r="O86">
        <v>0</v>
      </c>
      <c r="P86">
        <v>9.6</v>
      </c>
      <c r="Q86">
        <v>2</v>
      </c>
      <c r="R86">
        <v>13.4</v>
      </c>
      <c r="S86">
        <v>1.7</v>
      </c>
      <c r="T86">
        <v>8.9</v>
      </c>
      <c r="U86">
        <v>1.5</v>
      </c>
      <c r="V86">
        <v>88.6</v>
      </c>
      <c r="W86">
        <v>5.9</v>
      </c>
      <c r="X86">
        <v>12</v>
      </c>
      <c r="Y86">
        <v>1</v>
      </c>
      <c r="Z86">
        <v>2</v>
      </c>
      <c r="AA86">
        <v>1</v>
      </c>
      <c r="AB86">
        <v>0</v>
      </c>
      <c r="AC86">
        <v>0</v>
      </c>
      <c r="AD86">
        <v>0</v>
      </c>
      <c r="AE86">
        <v>0.11764705882352941</v>
      </c>
      <c r="AF86">
        <v>6.6666666666666666E-2</v>
      </c>
      <c r="AG86">
        <v>0</v>
      </c>
      <c r="AH86">
        <v>0</v>
      </c>
      <c r="AI86">
        <v>0</v>
      </c>
    </row>
    <row r="87" spans="1:35" x14ac:dyDescent="0.25">
      <c r="A87">
        <v>2025</v>
      </c>
      <c r="B87" t="s">
        <v>186</v>
      </c>
      <c r="C87" t="s">
        <v>132</v>
      </c>
      <c r="D87" t="str" cm="1">
        <f t="array" ref="D87">_xlfn.XLOOKUP(1,('26 WR'!A:A=E87)*('26 WR'!B:B=F87),'26 WR'!C:C)</f>
        <v>Jonathon Brooks</v>
      </c>
      <c r="E87" t="s">
        <v>23</v>
      </c>
      <c r="F87">
        <v>46</v>
      </c>
      <c r="G87">
        <f>VLOOKUP(B87,[2]FantasyPros_2025_Overall_ADP_Ra!$B$2:$E$416,4,FALSE)</f>
        <v>148</v>
      </c>
      <c r="H87">
        <v>17.3</v>
      </c>
      <c r="I87">
        <v>10.9</v>
      </c>
      <c r="J87">
        <v>0.2</v>
      </c>
      <c r="K87">
        <v>0.2</v>
      </c>
      <c r="L87">
        <v>1.2</v>
      </c>
      <c r="M87">
        <v>4.4000000000000004</v>
      </c>
      <c r="N87">
        <v>2.7</v>
      </c>
      <c r="O87">
        <v>7.9</v>
      </c>
      <c r="P87">
        <v>0</v>
      </c>
      <c r="Q87">
        <v>0.9</v>
      </c>
      <c r="R87">
        <v>1.9</v>
      </c>
      <c r="S87">
        <v>16.2</v>
      </c>
      <c r="T87">
        <v>2.2999999999999998</v>
      </c>
      <c r="U87">
        <v>9.8000000000000007</v>
      </c>
      <c r="V87">
        <v>87.6</v>
      </c>
      <c r="W87">
        <v>5.8</v>
      </c>
      <c r="X87">
        <v>13</v>
      </c>
      <c r="Y87">
        <v>1</v>
      </c>
      <c r="Z87">
        <v>3</v>
      </c>
      <c r="AA87">
        <v>2</v>
      </c>
      <c r="AB87">
        <v>0</v>
      </c>
      <c r="AC87">
        <v>0</v>
      </c>
      <c r="AD87">
        <v>0</v>
      </c>
      <c r="AE87">
        <v>0.17647058823529413</v>
      </c>
      <c r="AF87">
        <v>0.13333333333333333</v>
      </c>
      <c r="AG87">
        <v>0</v>
      </c>
      <c r="AH87">
        <v>0</v>
      </c>
      <c r="AI87">
        <v>0</v>
      </c>
    </row>
    <row r="88" spans="1:35" x14ac:dyDescent="0.25">
      <c r="A88">
        <v>2025</v>
      </c>
      <c r="B88" t="s">
        <v>193</v>
      </c>
      <c r="C88" t="s">
        <v>65</v>
      </c>
      <c r="D88" t="str" cm="1">
        <f t="array" ref="D88">_xlfn.XLOOKUP(1,('26 WR'!A:A=E88)*('26 WR'!B:B=F88),'26 WR'!C:C)</f>
        <v>Chris Rodriguez Jr.</v>
      </c>
      <c r="E88" t="s">
        <v>23</v>
      </c>
      <c r="F88">
        <v>47</v>
      </c>
      <c r="G88">
        <f>VLOOKUP(B88,[2]FantasyPros_2025_Overall_ADP_Ra!$B$2:$E$416,4,FALSE)</f>
        <v>154</v>
      </c>
      <c r="H88">
        <v>2</v>
      </c>
      <c r="I88">
        <v>6.8</v>
      </c>
      <c r="J88">
        <v>2.8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11.6</v>
      </c>
      <c r="W88">
        <v>3.9</v>
      </c>
      <c r="X88">
        <v>20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2025</v>
      </c>
      <c r="B89" t="s">
        <v>195</v>
      </c>
      <c r="C89" t="s">
        <v>68</v>
      </c>
      <c r="D89" t="str" cm="1">
        <f t="array" ref="D89">_xlfn.XLOOKUP(1,('26 WR'!A:A=E89)*('26 WR'!B:B=F89),'26 WR'!C:C)</f>
        <v>Dylan Sampson</v>
      </c>
      <c r="E89" t="s">
        <v>23</v>
      </c>
      <c r="F89">
        <v>48</v>
      </c>
      <c r="G89">
        <f>VLOOKUP(B89,[2]FantasyPros_2025_Overall_ADP_Ra!$B$2:$E$416,4,FALSE)</f>
        <v>157</v>
      </c>
      <c r="H89">
        <v>1.1000000000000001</v>
      </c>
      <c r="I89">
        <v>2.4</v>
      </c>
      <c r="J89">
        <v>0</v>
      </c>
      <c r="K89">
        <v>0.3</v>
      </c>
      <c r="L89">
        <v>0.1</v>
      </c>
      <c r="M89">
        <v>9.9</v>
      </c>
      <c r="N89">
        <v>0</v>
      </c>
      <c r="O89">
        <v>1.6</v>
      </c>
      <c r="P89">
        <v>0</v>
      </c>
      <c r="Q89">
        <v>0.8</v>
      </c>
      <c r="R89">
        <v>0</v>
      </c>
      <c r="S89">
        <v>6</v>
      </c>
      <c r="T89">
        <v>6.2</v>
      </c>
      <c r="U89">
        <v>0</v>
      </c>
      <c r="V89">
        <v>64.099999999999994</v>
      </c>
      <c r="W89">
        <v>3.8</v>
      </c>
      <c r="X89">
        <v>14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5.8823529411764705E-2</v>
      </c>
      <c r="AF89">
        <v>5.8823529411764705E-2</v>
      </c>
      <c r="AG89">
        <v>5.8823529411764705E-2</v>
      </c>
      <c r="AH89">
        <v>5.8823529411764705E-2</v>
      </c>
      <c r="AI89">
        <v>0</v>
      </c>
    </row>
    <row r="90" spans="1:35" x14ac:dyDescent="0.25">
      <c r="A90">
        <v>2025</v>
      </c>
      <c r="B90" t="s">
        <v>199</v>
      </c>
      <c r="C90" t="s">
        <v>132</v>
      </c>
      <c r="D90" t="str" cm="1">
        <f t="array" ref="D90">_xlfn.XLOOKUP(1,('26 WR'!A:A=E90)*('26 WR'!B:B=F90),'26 WR'!C:C)</f>
        <v>Isiah Pacheco</v>
      </c>
      <c r="E90" t="s">
        <v>23</v>
      </c>
      <c r="F90">
        <v>49</v>
      </c>
      <c r="G90">
        <f>VLOOKUP(B90,[2]FantasyPros_2025_Overall_ADP_Ra!$B$2:$E$416,4,FALSE)</f>
        <v>161</v>
      </c>
      <c r="H90">
        <v>1.5</v>
      </c>
      <c r="I90">
        <v>10.4</v>
      </c>
      <c r="J90">
        <v>5</v>
      </c>
      <c r="K90">
        <v>1.3</v>
      </c>
      <c r="L90">
        <v>5.8</v>
      </c>
      <c r="M90">
        <v>8</v>
      </c>
      <c r="N90">
        <v>3</v>
      </c>
      <c r="O90">
        <v>0.9</v>
      </c>
      <c r="P90">
        <v>0</v>
      </c>
      <c r="Q90">
        <v>0.1</v>
      </c>
      <c r="R90">
        <v>0.2</v>
      </c>
      <c r="S90">
        <v>0.3</v>
      </c>
      <c r="T90">
        <v>4.7</v>
      </c>
      <c r="U90">
        <v>3</v>
      </c>
      <c r="V90">
        <v>43.6</v>
      </c>
      <c r="W90">
        <v>3.4</v>
      </c>
      <c r="X90">
        <v>20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5.8823529411764705E-2</v>
      </c>
      <c r="AF90">
        <v>0</v>
      </c>
      <c r="AG90">
        <v>0</v>
      </c>
      <c r="AH90">
        <v>0</v>
      </c>
      <c r="AI90">
        <v>0</v>
      </c>
    </row>
    <row r="91" spans="1:35" x14ac:dyDescent="0.25">
      <c r="A91">
        <v>2025</v>
      </c>
      <c r="B91" t="s">
        <v>203</v>
      </c>
      <c r="C91" t="s">
        <v>57</v>
      </c>
      <c r="D91" t="str" cm="1">
        <f t="array" ref="D91">_xlfn.XLOOKUP(1,('26 WR'!A:A=E91)*('26 WR'!B:B=F91),'26 WR'!C:C)</f>
        <v>Alvin Kamara</v>
      </c>
      <c r="E91" t="s">
        <v>23</v>
      </c>
      <c r="F91">
        <v>50</v>
      </c>
      <c r="G91">
        <f>VLOOKUP(B91,[2]FantasyPros_2025_Overall_ADP_Ra!$B$2:$E$416,4,FALSE)</f>
        <v>165</v>
      </c>
      <c r="H91">
        <v>2.6</v>
      </c>
      <c r="I91">
        <v>14.6</v>
      </c>
      <c r="J91">
        <v>2.4</v>
      </c>
      <c r="K91">
        <v>8.6</v>
      </c>
      <c r="L91">
        <v>23.1</v>
      </c>
      <c r="M91">
        <v>17.600000000000001</v>
      </c>
      <c r="N91">
        <v>8.4</v>
      </c>
      <c r="O91">
        <v>8.1</v>
      </c>
      <c r="P91">
        <v>0</v>
      </c>
      <c r="Q91">
        <v>10.4</v>
      </c>
      <c r="R91">
        <v>8.1999999999999993</v>
      </c>
      <c r="S91">
        <v>5.2</v>
      </c>
      <c r="T91">
        <v>5.9</v>
      </c>
      <c r="U91">
        <v>6.5</v>
      </c>
      <c r="V91">
        <v>143</v>
      </c>
      <c r="W91">
        <v>8.4</v>
      </c>
      <c r="X91">
        <v>14</v>
      </c>
      <c r="Y91">
        <v>1</v>
      </c>
      <c r="Z91">
        <v>4</v>
      </c>
      <c r="AA91">
        <v>2</v>
      </c>
      <c r="AB91">
        <v>1</v>
      </c>
      <c r="AC91">
        <v>0</v>
      </c>
      <c r="AD91">
        <v>0</v>
      </c>
      <c r="AE91">
        <v>0.23529411764705882</v>
      </c>
      <c r="AF91">
        <v>0.11764705882352941</v>
      </c>
      <c r="AG91">
        <v>5.8823529411764705E-2</v>
      </c>
      <c r="AH91">
        <v>0</v>
      </c>
      <c r="AI91">
        <v>0</v>
      </c>
    </row>
    <row r="92" spans="1:35" x14ac:dyDescent="0.25">
      <c r="A92">
        <v>2025</v>
      </c>
      <c r="B92" t="s">
        <v>207</v>
      </c>
      <c r="C92" t="s">
        <v>24</v>
      </c>
      <c r="D92" t="str" cm="1">
        <f t="array" ref="D92">_xlfn.XLOOKUP(1,('26 WR'!A:A=E92)*('26 WR'!B:B=F92),'26 WR'!C:C)</f>
        <v>Keaton Mitchell</v>
      </c>
      <c r="E92" t="s">
        <v>23</v>
      </c>
      <c r="F92">
        <v>51</v>
      </c>
      <c r="G92">
        <f>VLOOKUP(B92,[2]FantasyPros_2025_Overall_ADP_Ra!$B$2:$E$416,4,FALSE)</f>
        <v>168</v>
      </c>
      <c r="H92">
        <v>2.4</v>
      </c>
      <c r="I92">
        <v>15</v>
      </c>
      <c r="J92">
        <v>1.4</v>
      </c>
      <c r="K92">
        <v>11.1</v>
      </c>
      <c r="L92">
        <v>0</v>
      </c>
      <c r="M92">
        <v>10.8</v>
      </c>
      <c r="N92">
        <v>1.6</v>
      </c>
      <c r="O92">
        <v>9.4</v>
      </c>
      <c r="P92">
        <v>0.6</v>
      </c>
      <c r="Q92">
        <v>17.7</v>
      </c>
      <c r="R92">
        <v>9.6</v>
      </c>
      <c r="S92">
        <v>5.9</v>
      </c>
      <c r="T92">
        <v>13.5</v>
      </c>
      <c r="U92">
        <v>8.6999999999999993</v>
      </c>
      <c r="V92">
        <v>123</v>
      </c>
      <c r="W92">
        <v>7.2</v>
      </c>
      <c r="X92">
        <v>14</v>
      </c>
      <c r="Y92">
        <v>1</v>
      </c>
      <c r="Z92">
        <v>5</v>
      </c>
      <c r="AA92">
        <v>1</v>
      </c>
      <c r="AB92">
        <v>0</v>
      </c>
      <c r="AC92">
        <v>0</v>
      </c>
      <c r="AD92">
        <v>0</v>
      </c>
      <c r="AE92">
        <v>0.29411764705882354</v>
      </c>
      <c r="AF92">
        <v>5.8823529411764705E-2</v>
      </c>
      <c r="AG92">
        <v>0</v>
      </c>
      <c r="AH92">
        <v>0</v>
      </c>
      <c r="AI92">
        <v>0</v>
      </c>
    </row>
    <row r="93" spans="1:35" x14ac:dyDescent="0.25">
      <c r="A93">
        <v>2025</v>
      </c>
      <c r="B93" t="s">
        <v>211</v>
      </c>
      <c r="C93" t="s">
        <v>39</v>
      </c>
      <c r="D93" t="str" cm="1">
        <f t="array" ref="D93">_xlfn.XLOOKUP(1,('26 WR'!A:A=E93)*('26 WR'!B:B=F93),'26 WR'!C:C)</f>
        <v>Jonah Coleman</v>
      </c>
      <c r="E93" t="s">
        <v>23</v>
      </c>
      <c r="F93">
        <v>52</v>
      </c>
      <c r="G93">
        <f>VLOOKUP(B93,[2]FantasyPros_2025_Overall_ADP_Ra!$B$2:$E$416,4,FALSE)</f>
        <v>172</v>
      </c>
      <c r="H93">
        <v>0.3</v>
      </c>
      <c r="I93">
        <v>6.1</v>
      </c>
      <c r="J93">
        <v>4.5999999999999996</v>
      </c>
      <c r="K93">
        <v>27.9</v>
      </c>
      <c r="L93">
        <v>2.4</v>
      </c>
      <c r="M93">
        <v>0</v>
      </c>
      <c r="N93">
        <v>12.5</v>
      </c>
      <c r="O93">
        <v>15.1</v>
      </c>
      <c r="P93">
        <v>2.7</v>
      </c>
      <c r="Q93">
        <v>16.100000000000001</v>
      </c>
      <c r="R93">
        <v>6.1</v>
      </c>
      <c r="S93">
        <v>7.9</v>
      </c>
      <c r="T93">
        <v>7.7</v>
      </c>
      <c r="U93">
        <v>15.6</v>
      </c>
      <c r="V93">
        <v>151.1</v>
      </c>
      <c r="W93">
        <v>9.4</v>
      </c>
      <c r="X93">
        <v>15</v>
      </c>
      <c r="Y93">
        <v>1</v>
      </c>
      <c r="Z93">
        <v>6</v>
      </c>
      <c r="AA93">
        <v>4</v>
      </c>
      <c r="AB93">
        <v>1</v>
      </c>
      <c r="AC93">
        <v>1</v>
      </c>
      <c r="AD93">
        <v>0</v>
      </c>
      <c r="AE93">
        <v>0.35294117647058826</v>
      </c>
      <c r="AF93">
        <v>0.25</v>
      </c>
      <c r="AG93">
        <v>6.25E-2</v>
      </c>
      <c r="AH93">
        <v>6.25E-2</v>
      </c>
      <c r="AI93">
        <v>0</v>
      </c>
    </row>
    <row r="94" spans="1:35" x14ac:dyDescent="0.25">
      <c r="A94">
        <v>2025</v>
      </c>
      <c r="B94" t="s">
        <v>212</v>
      </c>
      <c r="C94" t="s">
        <v>92</v>
      </c>
      <c r="D94" t="str" cm="1">
        <f t="array" ref="D94">_xlfn.XLOOKUP(1,('26 WR'!A:A=E94)*('26 WR'!B:B=F94),'26 WR'!C:C)</f>
        <v>Brian Robinson Jr.</v>
      </c>
      <c r="E94" t="s">
        <v>23</v>
      </c>
      <c r="F94">
        <v>53</v>
      </c>
      <c r="G94">
        <f>VLOOKUP(B94,[2]FantasyPros_2025_Overall_ADP_Ra!$B$2:$E$416,4,FALSE)</f>
        <v>174</v>
      </c>
      <c r="H94">
        <v>3.6</v>
      </c>
      <c r="I94">
        <v>2.9</v>
      </c>
      <c r="J94">
        <v>10.8</v>
      </c>
      <c r="K94">
        <v>4</v>
      </c>
      <c r="L94">
        <v>32.4</v>
      </c>
      <c r="M94">
        <v>33.9</v>
      </c>
      <c r="N94">
        <v>10.6</v>
      </c>
      <c r="O94">
        <v>5.4</v>
      </c>
      <c r="P94">
        <v>28.1</v>
      </c>
      <c r="Q94">
        <v>15.3</v>
      </c>
      <c r="R94">
        <v>15</v>
      </c>
      <c r="S94">
        <v>11.4</v>
      </c>
      <c r="T94">
        <v>9.9</v>
      </c>
      <c r="U94">
        <v>0</v>
      </c>
      <c r="V94">
        <v>216.3</v>
      </c>
      <c r="W94">
        <v>12.7</v>
      </c>
      <c r="X94">
        <v>15</v>
      </c>
      <c r="Y94">
        <v>1</v>
      </c>
      <c r="Z94">
        <v>9</v>
      </c>
      <c r="AA94">
        <v>4</v>
      </c>
      <c r="AB94">
        <v>3</v>
      </c>
      <c r="AC94">
        <v>3</v>
      </c>
      <c r="AD94">
        <v>2</v>
      </c>
      <c r="AE94">
        <v>0.52941176470588236</v>
      </c>
      <c r="AF94">
        <v>0.23529411764705882</v>
      </c>
      <c r="AG94">
        <v>0.17647058823529413</v>
      </c>
      <c r="AH94">
        <v>0.17647058823529413</v>
      </c>
      <c r="AI94">
        <v>0.11764705882352941</v>
      </c>
    </row>
    <row r="95" spans="1:35" x14ac:dyDescent="0.25">
      <c r="A95">
        <v>2025</v>
      </c>
      <c r="B95" t="s">
        <v>217</v>
      </c>
      <c r="C95" t="s">
        <v>33</v>
      </c>
      <c r="D95" t="str" cm="1">
        <f t="array" ref="D95">_xlfn.XLOOKUP(1,('26 WR'!A:A=E95)*('26 WR'!B:B=F95),'26 WR'!C:C)</f>
        <v>Tank Bigsby</v>
      </c>
      <c r="E95" t="s">
        <v>23</v>
      </c>
      <c r="F95">
        <v>54</v>
      </c>
      <c r="G95">
        <f>VLOOKUP(B95,[2]FantasyPros_2025_Overall_ADP_Ra!$B$2:$E$416,4,FALSE)</f>
        <v>178</v>
      </c>
      <c r="H95">
        <v>2.6</v>
      </c>
      <c r="I95">
        <v>0</v>
      </c>
      <c r="J95">
        <v>0</v>
      </c>
      <c r="K95">
        <v>0</v>
      </c>
      <c r="L95">
        <v>1.4</v>
      </c>
      <c r="M95">
        <v>0</v>
      </c>
      <c r="N95">
        <v>1.7</v>
      </c>
      <c r="O95">
        <v>0.2</v>
      </c>
      <c r="P95">
        <v>0</v>
      </c>
      <c r="Q95">
        <v>5.4</v>
      </c>
      <c r="R95">
        <v>0</v>
      </c>
      <c r="S95">
        <v>0</v>
      </c>
      <c r="T95">
        <v>2.1</v>
      </c>
      <c r="U95">
        <v>1.3</v>
      </c>
      <c r="V95">
        <v>17.5</v>
      </c>
      <c r="W95">
        <v>1.2</v>
      </c>
      <c r="X95">
        <v>20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>
        <v>2025</v>
      </c>
      <c r="B96" t="s">
        <v>221</v>
      </c>
      <c r="C96" t="s">
        <v>114</v>
      </c>
      <c r="D96" t="str" cm="1">
        <f t="array" ref="D96">_xlfn.XLOOKUP(1,('26 WR'!A:A=E96)*('26 WR'!B:B=F96),'26 WR'!C:C)</f>
        <v>Braelon Allen</v>
      </c>
      <c r="E96" t="s">
        <v>23</v>
      </c>
      <c r="F96">
        <v>55</v>
      </c>
      <c r="G96">
        <f>VLOOKUP(B96,[2]FantasyPros_2025_Overall_ADP_Ra!$B$2:$E$416,4,FALSE)</f>
        <v>180</v>
      </c>
      <c r="H96">
        <v>0</v>
      </c>
      <c r="I96">
        <v>0</v>
      </c>
      <c r="J96">
        <v>0</v>
      </c>
      <c r="K96">
        <v>0</v>
      </c>
      <c r="L96">
        <v>1.4</v>
      </c>
      <c r="M96">
        <v>9</v>
      </c>
      <c r="N96">
        <v>7</v>
      </c>
      <c r="O96">
        <v>17.2</v>
      </c>
      <c r="P96">
        <v>9.1999999999999993</v>
      </c>
      <c r="Q96">
        <v>0</v>
      </c>
      <c r="R96">
        <v>8.4</v>
      </c>
      <c r="S96">
        <v>6.5</v>
      </c>
      <c r="T96">
        <v>8.4</v>
      </c>
      <c r="U96">
        <v>6.7</v>
      </c>
      <c r="V96">
        <v>111.7</v>
      </c>
      <c r="W96">
        <v>8.6</v>
      </c>
      <c r="X96">
        <v>15</v>
      </c>
      <c r="Y96">
        <v>1</v>
      </c>
      <c r="Z96">
        <v>2</v>
      </c>
      <c r="AA96">
        <v>2</v>
      </c>
      <c r="AB96">
        <v>1</v>
      </c>
      <c r="AC96">
        <v>0</v>
      </c>
      <c r="AD96">
        <v>0</v>
      </c>
      <c r="AE96">
        <v>0.11764705882352941</v>
      </c>
      <c r="AF96">
        <v>0.15384615384615385</v>
      </c>
      <c r="AG96">
        <v>7.6923076923076927E-2</v>
      </c>
      <c r="AH96">
        <v>0</v>
      </c>
      <c r="AI96">
        <v>0</v>
      </c>
    </row>
    <row r="97" spans="1:35" x14ac:dyDescent="0.25">
      <c r="A97">
        <v>2025</v>
      </c>
      <c r="B97" t="s">
        <v>223</v>
      </c>
      <c r="C97" t="s">
        <v>85</v>
      </c>
      <c r="D97" t="str" cm="1">
        <f t="array" ref="D97">_xlfn.XLOOKUP(1,('26 WR'!A:A=E97)*('26 WR'!B:B=F97),'26 WR'!C:C)</f>
        <v>James Conner</v>
      </c>
      <c r="E97" t="s">
        <v>23</v>
      </c>
      <c r="F97">
        <v>56</v>
      </c>
      <c r="G97">
        <f>VLOOKUP(B97,[2]FantasyPros_2025_Overall_ADP_Ra!$B$2:$E$416,4,FALSE)</f>
        <v>183</v>
      </c>
      <c r="H97">
        <v>4.5999999999999996</v>
      </c>
      <c r="I97">
        <v>4.4000000000000004</v>
      </c>
      <c r="J97">
        <v>11.4</v>
      </c>
      <c r="K97">
        <v>5.7</v>
      </c>
      <c r="L97">
        <v>18.7</v>
      </c>
      <c r="M97">
        <v>4.4000000000000004</v>
      </c>
      <c r="N97">
        <v>1.8</v>
      </c>
      <c r="O97">
        <v>17.2</v>
      </c>
      <c r="P97">
        <v>12.5</v>
      </c>
      <c r="Q97">
        <v>0</v>
      </c>
      <c r="R97">
        <v>13.2</v>
      </c>
      <c r="S97">
        <v>20</v>
      </c>
      <c r="T97">
        <v>9</v>
      </c>
      <c r="U97">
        <v>9</v>
      </c>
      <c r="V97">
        <v>145.4</v>
      </c>
      <c r="W97">
        <v>8.6</v>
      </c>
      <c r="X97">
        <v>16</v>
      </c>
      <c r="Y97">
        <v>1</v>
      </c>
      <c r="Z97">
        <v>6</v>
      </c>
      <c r="AA97">
        <v>3</v>
      </c>
      <c r="AB97">
        <v>0</v>
      </c>
      <c r="AC97">
        <v>0</v>
      </c>
      <c r="AD97">
        <v>0</v>
      </c>
      <c r="AE97">
        <v>0.35294117647058826</v>
      </c>
      <c r="AF97">
        <v>0.17647058823529413</v>
      </c>
      <c r="AG97">
        <v>0</v>
      </c>
      <c r="AH97">
        <v>0</v>
      </c>
      <c r="AI97">
        <v>0</v>
      </c>
    </row>
    <row r="98" spans="1:35" x14ac:dyDescent="0.25">
      <c r="A98">
        <v>2025</v>
      </c>
      <c r="B98" t="s">
        <v>225</v>
      </c>
      <c r="C98" t="s">
        <v>80</v>
      </c>
      <c r="D98" t="str" cm="1">
        <f t="array" ref="D98">_xlfn.XLOOKUP(1,('26 WR'!A:A=E98)*('26 WR'!B:B=F98),'26 WR'!C:C)</f>
        <v>Emanuel Wilson</v>
      </c>
      <c r="E98" t="s">
        <v>23</v>
      </c>
      <c r="F98">
        <v>57</v>
      </c>
      <c r="G98">
        <f>VLOOKUP(B98,[2]FantasyPros_2025_Overall_ADP_Ra!$B$2:$E$416,4,FALSE)</f>
        <v>184</v>
      </c>
      <c r="H98">
        <v>0</v>
      </c>
      <c r="I98">
        <v>0</v>
      </c>
      <c r="J98">
        <v>3.9</v>
      </c>
      <c r="K98">
        <v>5.9</v>
      </c>
      <c r="L98">
        <v>0.7</v>
      </c>
      <c r="M98">
        <v>0</v>
      </c>
      <c r="N98">
        <v>7.2</v>
      </c>
      <c r="O98">
        <v>0.2</v>
      </c>
      <c r="P98">
        <v>12.5</v>
      </c>
      <c r="Q98">
        <v>7.6</v>
      </c>
      <c r="R98">
        <v>9.5</v>
      </c>
      <c r="S98">
        <v>0</v>
      </c>
      <c r="T98">
        <v>10.1</v>
      </c>
      <c r="U98">
        <v>5.2</v>
      </c>
      <c r="V98">
        <v>92</v>
      </c>
      <c r="W98">
        <v>7.1</v>
      </c>
      <c r="X98">
        <v>16</v>
      </c>
      <c r="Y98">
        <v>1</v>
      </c>
      <c r="Z98">
        <v>4</v>
      </c>
      <c r="AA98">
        <v>1</v>
      </c>
      <c r="AB98">
        <v>0</v>
      </c>
      <c r="AC98">
        <v>0</v>
      </c>
      <c r="AD98">
        <v>0</v>
      </c>
      <c r="AE98">
        <v>0.23529411764705882</v>
      </c>
      <c r="AF98">
        <v>7.6923076923076927E-2</v>
      </c>
      <c r="AG98">
        <v>0</v>
      </c>
      <c r="AH98">
        <v>0</v>
      </c>
      <c r="AI98">
        <v>0</v>
      </c>
    </row>
    <row r="99" spans="1:35" x14ac:dyDescent="0.25">
      <c r="A99">
        <v>2025</v>
      </c>
      <c r="B99" t="s">
        <v>233</v>
      </c>
      <c r="C99" t="s">
        <v>41</v>
      </c>
      <c r="D99" t="str" cm="1">
        <f t="array" ref="D99">_xlfn.XLOOKUP(1,('26 WR'!A:A=E99)*('26 WR'!B:B=F99),'26 WR'!C:C)</f>
        <v>Kimani Vidal</v>
      </c>
      <c r="E99" t="s">
        <v>23</v>
      </c>
      <c r="F99">
        <v>58</v>
      </c>
      <c r="G99">
        <f>VLOOKUP(B99,[2]FantasyPros_2025_Overall_ADP_Ra!$B$2:$E$416,4,FALSE)</f>
        <v>190</v>
      </c>
      <c r="H99">
        <v>0</v>
      </c>
      <c r="I99">
        <v>0</v>
      </c>
      <c r="J99">
        <v>0</v>
      </c>
      <c r="K99">
        <v>0</v>
      </c>
      <c r="L99">
        <v>2.2999999999999998</v>
      </c>
      <c r="M99">
        <v>0</v>
      </c>
      <c r="N99">
        <v>0</v>
      </c>
      <c r="O99">
        <v>4.3</v>
      </c>
      <c r="P99">
        <v>2.8</v>
      </c>
      <c r="Q99">
        <v>3.1</v>
      </c>
      <c r="R99">
        <v>7.4</v>
      </c>
      <c r="S99">
        <v>2.9</v>
      </c>
      <c r="T99">
        <v>11.1</v>
      </c>
      <c r="U99">
        <v>7.6</v>
      </c>
      <c r="V99">
        <v>55.4</v>
      </c>
      <c r="W99">
        <v>4.3</v>
      </c>
      <c r="X99">
        <v>16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5.8823529411764705E-2</v>
      </c>
      <c r="AF99">
        <v>0</v>
      </c>
      <c r="AG99">
        <v>0</v>
      </c>
      <c r="AH99">
        <v>0</v>
      </c>
      <c r="AI99">
        <v>0</v>
      </c>
    </row>
    <row r="100" spans="1:35" x14ac:dyDescent="0.25">
      <c r="A100">
        <v>2025</v>
      </c>
      <c r="B100" t="s">
        <v>239</v>
      </c>
      <c r="C100" t="s">
        <v>41</v>
      </c>
      <c r="D100" t="str" cm="1">
        <f t="array" ref="D100">_xlfn.XLOOKUP(1,('26 WR'!A:A=E100)*('26 WR'!B:B=F100),'26 WR'!C:C)</f>
        <v>Emmett Johnson</v>
      </c>
      <c r="E100" t="s">
        <v>23</v>
      </c>
      <c r="F100">
        <v>59</v>
      </c>
      <c r="G100">
        <f>VLOOKUP(B100,[2]FantasyPros_2025_Overall_ADP_Ra!$B$2:$E$416,4,FALSE)</f>
        <v>195</v>
      </c>
      <c r="H100">
        <v>0.1</v>
      </c>
      <c r="I100">
        <v>5.5</v>
      </c>
      <c r="J100">
        <v>7.5</v>
      </c>
      <c r="K100">
        <v>28.7</v>
      </c>
      <c r="L100">
        <v>2.2000000000000002</v>
      </c>
      <c r="M100">
        <v>9.4</v>
      </c>
      <c r="N100">
        <v>0</v>
      </c>
      <c r="O100">
        <v>0.2</v>
      </c>
      <c r="P100">
        <v>3.5</v>
      </c>
      <c r="Q100">
        <v>8.3000000000000007</v>
      </c>
      <c r="R100">
        <v>0</v>
      </c>
      <c r="S100">
        <v>0</v>
      </c>
      <c r="T100">
        <v>0</v>
      </c>
      <c r="U100">
        <v>0</v>
      </c>
      <c r="V100">
        <v>65.2</v>
      </c>
      <c r="W100">
        <v>6.5</v>
      </c>
      <c r="X100">
        <v>17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5.8823529411764705E-2</v>
      </c>
      <c r="AF100">
        <v>0.1</v>
      </c>
      <c r="AG100">
        <v>0.1</v>
      </c>
      <c r="AH100">
        <v>0.1</v>
      </c>
      <c r="AI100">
        <v>0</v>
      </c>
    </row>
    <row r="101" spans="1:35" x14ac:dyDescent="0.25">
      <c r="A101">
        <v>2025</v>
      </c>
      <c r="B101" t="s">
        <v>241</v>
      </c>
      <c r="C101" t="s">
        <v>55</v>
      </c>
      <c r="D101" t="str" cm="1">
        <f t="array" ref="D101">_xlfn.XLOOKUP(1,('26 WR'!A:A=E101)*('26 WR'!B:B=F101),'26 WR'!C:C)</f>
        <v>Ray Davis</v>
      </c>
      <c r="E101" t="s">
        <v>23</v>
      </c>
      <c r="F101">
        <v>60</v>
      </c>
      <c r="G101">
        <f>VLOOKUP(B101,[2]FantasyPros_2025_Overall_ADP_Ra!$B$2:$E$416,4,FALSE)</f>
        <v>197</v>
      </c>
      <c r="H101">
        <v>4.0999999999999996</v>
      </c>
      <c r="I101">
        <v>0</v>
      </c>
      <c r="J101">
        <v>0.3</v>
      </c>
      <c r="K101">
        <v>0</v>
      </c>
      <c r="L101">
        <v>2.2000000000000002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9.6</v>
      </c>
      <c r="W101">
        <v>1.1000000000000001</v>
      </c>
      <c r="X101">
        <v>20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>
        <v>2025</v>
      </c>
      <c r="B102" t="s">
        <v>248</v>
      </c>
      <c r="C102" t="s">
        <v>49</v>
      </c>
      <c r="D102" t="str" cm="1">
        <f t="array" ref="D102">_xlfn.XLOOKUP(1,('26 WR'!A:A=E102)*('26 WR'!B:B=F102),'26 WR'!C:C)</f>
        <v>Mike Washington Jr.</v>
      </c>
      <c r="E102" t="s">
        <v>23</v>
      </c>
      <c r="F102">
        <v>61</v>
      </c>
      <c r="G102">
        <f>VLOOKUP(B102,[2]FantasyPros_2025_Overall_ADP_Ra!$B$2:$E$416,4,FALSE)</f>
        <v>207</v>
      </c>
      <c r="H102">
        <v>2.6</v>
      </c>
      <c r="I102">
        <v>10.4</v>
      </c>
      <c r="J102">
        <v>5.3</v>
      </c>
      <c r="K102">
        <v>3.6</v>
      </c>
      <c r="L102">
        <v>1.3</v>
      </c>
      <c r="M102">
        <v>2.2999999999999998</v>
      </c>
      <c r="N102">
        <v>5.3</v>
      </c>
      <c r="O102">
        <v>0</v>
      </c>
      <c r="P102">
        <v>5.8</v>
      </c>
      <c r="Q102">
        <v>5.6</v>
      </c>
      <c r="R102">
        <v>1.5</v>
      </c>
      <c r="S102">
        <v>2.4</v>
      </c>
      <c r="T102">
        <v>14.1</v>
      </c>
      <c r="U102">
        <v>26.1</v>
      </c>
      <c r="V102">
        <v>122.2</v>
      </c>
      <c r="W102">
        <v>7.2</v>
      </c>
      <c r="X102">
        <v>18</v>
      </c>
      <c r="Y102">
        <v>1</v>
      </c>
      <c r="Z102">
        <v>5</v>
      </c>
      <c r="AA102">
        <v>1</v>
      </c>
      <c r="AB102">
        <v>1</v>
      </c>
      <c r="AC102">
        <v>1</v>
      </c>
      <c r="AD102">
        <v>0</v>
      </c>
      <c r="AE102">
        <v>0.29411764705882354</v>
      </c>
      <c r="AF102">
        <v>5.8823529411764705E-2</v>
      </c>
      <c r="AG102">
        <v>5.8823529411764705E-2</v>
      </c>
      <c r="AH102">
        <v>5.8823529411764705E-2</v>
      </c>
      <c r="AI102">
        <v>0</v>
      </c>
    </row>
    <row r="103" spans="1:35" x14ac:dyDescent="0.25">
      <c r="A103">
        <v>2025</v>
      </c>
      <c r="B103" t="s">
        <v>254</v>
      </c>
      <c r="C103" t="s">
        <v>96</v>
      </c>
      <c r="D103" t="str" cm="1">
        <f t="array" ref="D103">_xlfn.XLOOKUP(1,('26 WR'!A:A=E103)*('26 WR'!B:B=F103),'26 WR'!C:C)</f>
        <v>Sean Tucker</v>
      </c>
      <c r="E103" t="s">
        <v>23</v>
      </c>
      <c r="F103">
        <v>62</v>
      </c>
      <c r="G103">
        <f>VLOOKUP(B103,[2]FantasyPros_2025_Overall_ADP_Ra!$B$2:$E$416,4,FALSE)</f>
        <v>218</v>
      </c>
      <c r="H103">
        <v>2.4</v>
      </c>
      <c r="I103">
        <v>2</v>
      </c>
      <c r="J103">
        <v>5.6</v>
      </c>
      <c r="K103">
        <v>12.5</v>
      </c>
      <c r="L103">
        <v>5.9</v>
      </c>
      <c r="M103">
        <v>4.2</v>
      </c>
      <c r="N103">
        <v>0.7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33.299999999999997</v>
      </c>
      <c r="W103">
        <v>4.8</v>
      </c>
      <c r="X103">
        <v>20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5.8823529411764705E-2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>
        <v>2025</v>
      </c>
      <c r="B104" t="s">
        <v>255</v>
      </c>
      <c r="C104" t="s">
        <v>110</v>
      </c>
      <c r="D104" t="str" cm="1">
        <f t="array" ref="D104">_xlfn.XLOOKUP(1,('26 WR'!A:A=E104)*('26 WR'!B:B=F104),'26 WR'!C:C)</f>
        <v>Jaylen Wright</v>
      </c>
      <c r="E104" t="s">
        <v>23</v>
      </c>
      <c r="F104">
        <v>63</v>
      </c>
      <c r="G104">
        <f>VLOOKUP(B104,[2]FantasyPros_2025_Overall_ADP_Ra!$B$2:$E$416,4,FALSE)</f>
        <v>220</v>
      </c>
      <c r="H104">
        <v>2.1</v>
      </c>
      <c r="I104">
        <v>4.5999999999999996</v>
      </c>
      <c r="J104">
        <v>3</v>
      </c>
      <c r="K104">
        <v>1.8</v>
      </c>
      <c r="L104">
        <v>0</v>
      </c>
      <c r="M104">
        <v>5.4</v>
      </c>
      <c r="N104">
        <v>17.399999999999999</v>
      </c>
      <c r="O104">
        <v>2.4</v>
      </c>
      <c r="P104">
        <v>22.8</v>
      </c>
      <c r="Q104">
        <v>8.8000000000000007</v>
      </c>
      <c r="R104">
        <v>10.7</v>
      </c>
      <c r="S104">
        <v>10.8</v>
      </c>
      <c r="T104">
        <v>19</v>
      </c>
      <c r="U104">
        <v>8.6999999999999993</v>
      </c>
      <c r="V104">
        <v>146.69999999999999</v>
      </c>
      <c r="W104">
        <v>8.6</v>
      </c>
      <c r="X104">
        <v>19</v>
      </c>
      <c r="Y104">
        <v>1</v>
      </c>
      <c r="Z104">
        <v>6</v>
      </c>
      <c r="AA104">
        <v>3</v>
      </c>
      <c r="AB104">
        <v>1</v>
      </c>
      <c r="AC104">
        <v>0</v>
      </c>
      <c r="AD104">
        <v>0</v>
      </c>
      <c r="AE104">
        <v>0.35294117647058826</v>
      </c>
      <c r="AF104">
        <v>0.17647058823529413</v>
      </c>
      <c r="AG104">
        <v>5.8823529411764705E-2</v>
      </c>
      <c r="AH104">
        <v>0</v>
      </c>
      <c r="AI104">
        <v>0</v>
      </c>
    </row>
    <row r="105" spans="1:35" x14ac:dyDescent="0.25">
      <c r="A105">
        <v>2025</v>
      </c>
      <c r="B105" t="s">
        <v>257</v>
      </c>
      <c r="C105" t="s">
        <v>59</v>
      </c>
      <c r="D105" t="str" cm="1">
        <f t="array" ref="D105">_xlfn.XLOOKUP(1,('26 WR'!A:A=E105)*('26 WR'!B:B=F105),'26 WR'!C:C)</f>
        <v>Nicholas Singleton</v>
      </c>
      <c r="E105" t="s">
        <v>23</v>
      </c>
      <c r="F105">
        <v>64</v>
      </c>
      <c r="G105">
        <f>VLOOKUP(B105,[2]FantasyPros_2025_Overall_ADP_Ra!$B$2:$E$416,4,FALSE)</f>
        <v>224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3.8</v>
      </c>
      <c r="P105">
        <v>0</v>
      </c>
      <c r="Q105">
        <v>1.7</v>
      </c>
      <c r="R105">
        <v>0.4</v>
      </c>
      <c r="S105">
        <v>0</v>
      </c>
      <c r="T105">
        <v>1.6</v>
      </c>
      <c r="U105">
        <v>16.7</v>
      </c>
      <c r="V105">
        <v>48.2</v>
      </c>
      <c r="W105">
        <v>4.4000000000000004</v>
      </c>
      <c r="X105">
        <v>20</v>
      </c>
      <c r="Y105">
        <v>1</v>
      </c>
      <c r="Z105">
        <v>2</v>
      </c>
      <c r="AA105">
        <v>1</v>
      </c>
      <c r="AB105">
        <v>0</v>
      </c>
      <c r="AC105">
        <v>0</v>
      </c>
      <c r="AD105">
        <v>0</v>
      </c>
      <c r="AE105">
        <v>0.11764705882352941</v>
      </c>
      <c r="AF105">
        <v>9.0909090909090912E-2</v>
      </c>
      <c r="AG105">
        <v>0</v>
      </c>
      <c r="AH105">
        <v>0</v>
      </c>
      <c r="AI105">
        <v>0</v>
      </c>
    </row>
    <row r="106" spans="1:35" x14ac:dyDescent="0.25">
      <c r="A106">
        <v>2025</v>
      </c>
      <c r="B106" t="s">
        <v>260</v>
      </c>
      <c r="C106" t="s">
        <v>57</v>
      </c>
      <c r="D106" t="str" cm="1">
        <f t="array" ref="D106">_xlfn.XLOOKUP(1,('26 WR'!A:A=E106)*('26 WR'!B:B=F106),'26 WR'!C:C)</f>
        <v>Justice Hill</v>
      </c>
      <c r="E106" t="s">
        <v>23</v>
      </c>
      <c r="F106">
        <v>65</v>
      </c>
      <c r="G106">
        <f>VLOOKUP(B106,[2]FantasyPros_2025_Overall_ADP_Ra!$B$2:$E$416,4,FALSE)</f>
        <v>229</v>
      </c>
      <c r="H106">
        <v>0.2</v>
      </c>
      <c r="I106">
        <v>0</v>
      </c>
      <c r="J106">
        <v>0</v>
      </c>
      <c r="K106">
        <v>0</v>
      </c>
      <c r="L106">
        <v>2.9</v>
      </c>
      <c r="M106">
        <v>8.5</v>
      </c>
      <c r="N106">
        <v>1.6</v>
      </c>
      <c r="O106">
        <v>10.199999999999999</v>
      </c>
      <c r="P106">
        <v>0</v>
      </c>
      <c r="Q106">
        <v>6.1</v>
      </c>
      <c r="R106">
        <v>34</v>
      </c>
      <c r="S106">
        <v>5.6</v>
      </c>
      <c r="T106">
        <v>0</v>
      </c>
      <c r="U106">
        <v>8.9</v>
      </c>
      <c r="V106">
        <v>91.4</v>
      </c>
      <c r="W106">
        <v>5.4</v>
      </c>
      <c r="X106">
        <v>20</v>
      </c>
      <c r="Y106">
        <v>1</v>
      </c>
      <c r="Z106">
        <v>2</v>
      </c>
      <c r="AA106">
        <v>1</v>
      </c>
      <c r="AB106">
        <v>1</v>
      </c>
      <c r="AC106">
        <v>1</v>
      </c>
      <c r="AD106">
        <v>1</v>
      </c>
      <c r="AE106">
        <v>0.11764705882352941</v>
      </c>
      <c r="AF106">
        <v>5.8823529411764705E-2</v>
      </c>
      <c r="AG106">
        <v>5.8823529411764705E-2</v>
      </c>
      <c r="AH106">
        <v>5.8823529411764705E-2</v>
      </c>
      <c r="AI106">
        <v>5.8823529411764705E-2</v>
      </c>
    </row>
    <row r="107" spans="1:35" x14ac:dyDescent="0.25">
      <c r="A107">
        <v>2025</v>
      </c>
      <c r="B107" t="s">
        <v>262</v>
      </c>
      <c r="C107" t="s">
        <v>85</v>
      </c>
      <c r="D107" t="str" cm="1">
        <f t="array" ref="D107">_xlfn.XLOOKUP(1,('26 WR'!A:A=E107)*('26 WR'!B:B=F107),'26 WR'!C:C)</f>
        <v>Ollie Gordon II</v>
      </c>
      <c r="E107" t="s">
        <v>23</v>
      </c>
      <c r="F107">
        <v>66</v>
      </c>
      <c r="G107">
        <f>VLOOKUP(B107,[2]FantasyPros_2025_Overall_ADP_Ra!$B$2:$E$416,4,FALSE)</f>
        <v>231</v>
      </c>
      <c r="H107">
        <v>0</v>
      </c>
      <c r="I107">
        <v>0.2</v>
      </c>
      <c r="J107">
        <v>1.3</v>
      </c>
      <c r="K107">
        <v>6.6</v>
      </c>
      <c r="L107">
        <v>6.6</v>
      </c>
      <c r="M107">
        <v>5.0999999999999996</v>
      </c>
      <c r="N107">
        <v>13.1</v>
      </c>
      <c r="O107">
        <v>0.8</v>
      </c>
      <c r="P107">
        <v>0.7</v>
      </c>
      <c r="Q107">
        <v>0</v>
      </c>
      <c r="R107">
        <v>2.8</v>
      </c>
      <c r="S107">
        <v>6.6</v>
      </c>
      <c r="T107">
        <v>0</v>
      </c>
      <c r="U107">
        <v>0.7</v>
      </c>
      <c r="V107">
        <v>63.3</v>
      </c>
      <c r="W107">
        <v>3.7</v>
      </c>
      <c r="X107">
        <v>20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5.8823529411764705E-2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>
        <v>2025</v>
      </c>
      <c r="B108" t="s">
        <v>264</v>
      </c>
      <c r="C108" t="s">
        <v>29</v>
      </c>
      <c r="D108" t="str" cm="1">
        <f t="array" ref="D108">_xlfn.XLOOKUP(1,('26 WR'!A:A=E108)*('26 WR'!B:B=F108),'26 WR'!C:C)</f>
        <v>Kaytron Allen</v>
      </c>
      <c r="E108" t="s">
        <v>23</v>
      </c>
      <c r="F108">
        <v>67</v>
      </c>
      <c r="G108">
        <f>VLOOKUP(B108,[2]FantasyPros_2025_Overall_ADP_Ra!$B$2:$E$416,4,FALSE)</f>
        <v>234</v>
      </c>
      <c r="H108">
        <v>0</v>
      </c>
      <c r="I108">
        <v>0</v>
      </c>
      <c r="J108">
        <v>0</v>
      </c>
      <c r="K108">
        <v>8.3000000000000007</v>
      </c>
      <c r="L108">
        <v>2.2000000000000002</v>
      </c>
      <c r="M108">
        <v>0.4</v>
      </c>
      <c r="N108">
        <v>1.2</v>
      </c>
      <c r="O108">
        <v>0</v>
      </c>
      <c r="P108">
        <v>2.4</v>
      </c>
      <c r="Q108">
        <v>2.5</v>
      </c>
      <c r="R108">
        <v>3.3</v>
      </c>
      <c r="S108">
        <v>5</v>
      </c>
      <c r="T108">
        <v>0.6</v>
      </c>
      <c r="U108">
        <v>1.2</v>
      </c>
      <c r="V108">
        <v>29.4</v>
      </c>
      <c r="W108">
        <v>2.5</v>
      </c>
      <c r="X108">
        <v>20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>
        <v>2025</v>
      </c>
      <c r="B109" t="s">
        <v>266</v>
      </c>
      <c r="C109" t="s">
        <v>98</v>
      </c>
      <c r="D109" t="str" cm="1">
        <f t="array" ref="D109">_xlfn.XLOOKUP(1,('26 WR'!A:A=E109)*('26 WR'!B:B=F109),'26 WR'!C:C)</f>
        <v>Ty Johnson</v>
      </c>
      <c r="E109" t="s">
        <v>23</v>
      </c>
      <c r="F109">
        <v>68</v>
      </c>
      <c r="G109">
        <f>VLOOKUP(B109,[2]FantasyPros_2025_Overall_ADP_Ra!$B$2:$E$416,4,FALSE)</f>
        <v>239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8.4</v>
      </c>
      <c r="S109">
        <v>0</v>
      </c>
      <c r="T109">
        <v>4</v>
      </c>
      <c r="U109">
        <v>4.0999999999999996</v>
      </c>
      <c r="V109">
        <v>31.4</v>
      </c>
      <c r="W109">
        <v>3.9</v>
      </c>
      <c r="X109">
        <v>20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>
        <v>2025</v>
      </c>
      <c r="B110" t="s">
        <v>267</v>
      </c>
      <c r="C110" t="s">
        <v>98</v>
      </c>
      <c r="D110" t="str" cm="1">
        <f t="array" ref="D110">_xlfn.XLOOKUP(1,('26 WR'!A:A=E110)*('26 WR'!B:B=F110),'26 WR'!C:C)</f>
        <v>MarShawn Lloyd</v>
      </c>
      <c r="E110" t="s">
        <v>23</v>
      </c>
      <c r="F110">
        <v>69</v>
      </c>
      <c r="G110">
        <f>VLOOKUP(B110,[2]FantasyPros_2025_Overall_ADP_Ra!$B$2:$E$416,4,FALSE)</f>
        <v>242</v>
      </c>
      <c r="H110">
        <v>3.6</v>
      </c>
      <c r="I110">
        <v>4.2</v>
      </c>
      <c r="J110">
        <v>0</v>
      </c>
      <c r="K110">
        <v>2.1</v>
      </c>
      <c r="L110">
        <v>2.6</v>
      </c>
      <c r="M110">
        <v>0</v>
      </c>
      <c r="N110">
        <v>3.9</v>
      </c>
      <c r="O110">
        <v>0.6</v>
      </c>
      <c r="P110">
        <v>2.6</v>
      </c>
      <c r="Q110">
        <v>0</v>
      </c>
      <c r="R110">
        <v>1</v>
      </c>
      <c r="S110">
        <v>0</v>
      </c>
      <c r="T110">
        <v>4.8</v>
      </c>
      <c r="U110">
        <v>3.1</v>
      </c>
      <c r="V110">
        <v>35.4</v>
      </c>
      <c r="W110">
        <v>2.2000000000000002</v>
      </c>
      <c r="X110">
        <v>20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25">
      <c r="A111">
        <v>2025</v>
      </c>
      <c r="B111" t="s">
        <v>268</v>
      </c>
      <c r="C111" t="s">
        <v>26</v>
      </c>
      <c r="D111" t="str" cm="1">
        <f t="array" ref="D111">_xlfn.XLOOKUP(1,('26 WR'!A:A=E111)*('26 WR'!B:B=F111),'26 WR'!C:C)</f>
        <v>Devin Neal</v>
      </c>
      <c r="E111" t="s">
        <v>23</v>
      </c>
      <c r="F111">
        <v>70</v>
      </c>
      <c r="G111">
        <f>VLOOKUP(B111,[2]FantasyPros_2025_Overall_ADP_Ra!$B$2:$E$416,4,FALSE)</f>
        <v>249</v>
      </c>
      <c r="H111">
        <v>5.2</v>
      </c>
      <c r="I111">
        <v>1.5</v>
      </c>
      <c r="J111">
        <v>7.1</v>
      </c>
      <c r="K111">
        <v>6.2</v>
      </c>
      <c r="L111">
        <v>5</v>
      </c>
      <c r="M111">
        <v>1.9</v>
      </c>
      <c r="N111">
        <v>1.8</v>
      </c>
      <c r="O111">
        <v>1.4</v>
      </c>
      <c r="P111">
        <v>2.2000000000000002</v>
      </c>
      <c r="Q111">
        <v>2.8</v>
      </c>
      <c r="R111">
        <v>4.5999999999999996</v>
      </c>
      <c r="S111">
        <v>0</v>
      </c>
      <c r="T111">
        <v>4.7</v>
      </c>
      <c r="U111">
        <v>0</v>
      </c>
      <c r="V111">
        <v>57</v>
      </c>
      <c r="W111">
        <v>3.4</v>
      </c>
      <c r="X111">
        <v>20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2025</v>
      </c>
      <c r="B112" t="s">
        <v>269</v>
      </c>
      <c r="C112" t="s">
        <v>80</v>
      </c>
      <c r="D112" t="str" cm="1">
        <f t="array" ref="D112">_xlfn.XLOOKUP(1,('26 WR'!A:A=E112)*('26 WR'!B:B=F112),'26 WR'!C:C)</f>
        <v>Jaydon Blue</v>
      </c>
      <c r="E112" t="s">
        <v>23</v>
      </c>
      <c r="F112">
        <v>71</v>
      </c>
      <c r="G112">
        <f>VLOOKUP(B112,[2]FantasyPros_2025_Overall_ADP_Ra!$B$2:$E$416,4,FALSE)</f>
        <v>250</v>
      </c>
      <c r="H112">
        <v>2.5</v>
      </c>
      <c r="I112">
        <v>0</v>
      </c>
      <c r="J112">
        <v>13.8</v>
      </c>
      <c r="K112">
        <v>1.3</v>
      </c>
      <c r="L112">
        <v>2.8</v>
      </c>
      <c r="M112">
        <v>6.5</v>
      </c>
      <c r="N112">
        <v>6.5</v>
      </c>
      <c r="O112">
        <v>11.8</v>
      </c>
      <c r="P112">
        <v>0</v>
      </c>
      <c r="Q112">
        <v>3.9</v>
      </c>
      <c r="R112">
        <v>4.9000000000000004</v>
      </c>
      <c r="S112">
        <v>0</v>
      </c>
      <c r="T112">
        <v>5</v>
      </c>
      <c r="U112">
        <v>1.2</v>
      </c>
      <c r="V112">
        <v>72.7</v>
      </c>
      <c r="W112">
        <v>4.3</v>
      </c>
      <c r="X112">
        <v>20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0.11764705882352941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>
        <v>2025</v>
      </c>
      <c r="B113" t="s">
        <v>274</v>
      </c>
      <c r="C113" t="s">
        <v>132</v>
      </c>
      <c r="D113" t="str" cm="1">
        <f t="array" ref="D113">_xlfn.XLOOKUP(1,('26 WR'!A:A=E113)*('26 WR'!B:B=F113),'26 WR'!C:C)</f>
        <v>DJ Giddens</v>
      </c>
      <c r="E113" t="s">
        <v>23</v>
      </c>
      <c r="F113">
        <v>72</v>
      </c>
      <c r="G113">
        <f>VLOOKUP(B113,[2]FantasyPros_2025_Overall_ADP_Ra!$B$2:$E$416,4,FALSE)</f>
        <v>262</v>
      </c>
      <c r="H113">
        <v>6.3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20.3</v>
      </c>
      <c r="W113">
        <v>4.0999999999999996</v>
      </c>
      <c r="X113">
        <v>20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>
        <v>2025</v>
      </c>
      <c r="B114" t="s">
        <v>277</v>
      </c>
      <c r="C114" t="s">
        <v>35</v>
      </c>
      <c r="D114" t="str" cm="1">
        <f t="array" ref="D114">_xlfn.XLOOKUP(1,('26 WR'!A:A=E114)*('26 WR'!B:B=F114),'26 WR'!C:C)</f>
        <v>Chris Brooks</v>
      </c>
      <c r="E114" t="s">
        <v>23</v>
      </c>
      <c r="F114">
        <v>73</v>
      </c>
      <c r="G114">
        <f>VLOOKUP(B114,[2]FantasyPros_2025_Overall_ADP_Ra!$B$2:$E$416,4,FALSE)</f>
        <v>267</v>
      </c>
      <c r="H114">
        <v>4</v>
      </c>
      <c r="I114">
        <v>9.9</v>
      </c>
      <c r="J114">
        <v>8.3000000000000007</v>
      </c>
      <c r="K114">
        <v>4.5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26.7</v>
      </c>
      <c r="W114">
        <v>6.7</v>
      </c>
      <c r="X114">
        <v>20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>
        <v>2025</v>
      </c>
      <c r="B115" t="s">
        <v>279</v>
      </c>
      <c r="C115" t="s">
        <v>43</v>
      </c>
      <c r="D115" t="str" cm="1">
        <f t="array" ref="D115">_xlfn.XLOOKUP(1,('26 WR'!A:A=E115)*('26 WR'!B:B=F115),'26 WR'!C:C)</f>
        <v>Isaiah Davis</v>
      </c>
      <c r="E115" t="s">
        <v>23</v>
      </c>
      <c r="F115">
        <v>74</v>
      </c>
      <c r="G115">
        <f>VLOOKUP(B115,[2]FantasyPros_2025_Overall_ADP_Ra!$B$2:$E$416,4,FALSE)</f>
        <v>272</v>
      </c>
      <c r="H115">
        <v>0.9</v>
      </c>
      <c r="I115">
        <v>1</v>
      </c>
      <c r="J115">
        <v>1.1000000000000001</v>
      </c>
      <c r="K115">
        <v>2.8</v>
      </c>
      <c r="L115">
        <v>3.4</v>
      </c>
      <c r="M115">
        <v>1</v>
      </c>
      <c r="N115">
        <v>0.2</v>
      </c>
      <c r="O115">
        <v>3.8</v>
      </c>
      <c r="P115">
        <v>7.1</v>
      </c>
      <c r="Q115">
        <v>10.3</v>
      </c>
      <c r="R115">
        <v>17.7</v>
      </c>
      <c r="S115">
        <v>4.7</v>
      </c>
      <c r="T115">
        <v>19.2</v>
      </c>
      <c r="U115">
        <v>0</v>
      </c>
      <c r="V115">
        <v>108.8</v>
      </c>
      <c r="W115">
        <v>6.4</v>
      </c>
      <c r="X115">
        <v>20</v>
      </c>
      <c r="Y115">
        <v>1</v>
      </c>
      <c r="Z115">
        <v>5</v>
      </c>
      <c r="AA115">
        <v>3</v>
      </c>
      <c r="AB115">
        <v>0</v>
      </c>
      <c r="AC115">
        <v>0</v>
      </c>
      <c r="AD115">
        <v>0</v>
      </c>
      <c r="AE115">
        <v>0.29411764705882354</v>
      </c>
      <c r="AF115">
        <v>0.17647058823529413</v>
      </c>
      <c r="AG115">
        <v>0</v>
      </c>
      <c r="AH115">
        <v>0</v>
      </c>
      <c r="AI115">
        <v>0</v>
      </c>
    </row>
    <row r="116" spans="1:35" x14ac:dyDescent="0.25">
      <c r="A116">
        <v>2025</v>
      </c>
      <c r="B116" t="s">
        <v>283</v>
      </c>
      <c r="C116" t="s">
        <v>45</v>
      </c>
      <c r="D116" t="str" cm="1">
        <f t="array" ref="D116">_xlfn.XLOOKUP(1,('26 WR'!A:A=E116)*('26 WR'!B:B=F116),'26 WR'!C:C)</f>
        <v>Seth McGowan</v>
      </c>
      <c r="E116" t="s">
        <v>23</v>
      </c>
      <c r="F116">
        <v>75</v>
      </c>
      <c r="G116">
        <f>VLOOKUP(B116,[2]FantasyPros_2025_Overall_ADP_Ra!$B$2:$E$416,4,FALSE)</f>
        <v>279</v>
      </c>
      <c r="H116">
        <v>0</v>
      </c>
      <c r="I116">
        <v>0</v>
      </c>
      <c r="J116">
        <v>0</v>
      </c>
      <c r="K116">
        <v>10.1</v>
      </c>
      <c r="L116">
        <v>6.1</v>
      </c>
      <c r="M116">
        <v>0.1</v>
      </c>
      <c r="N116">
        <v>0</v>
      </c>
      <c r="O116">
        <v>0</v>
      </c>
      <c r="P116">
        <v>8.8000000000000007</v>
      </c>
      <c r="Q116">
        <v>13.4</v>
      </c>
      <c r="R116">
        <v>4</v>
      </c>
      <c r="S116">
        <v>0</v>
      </c>
      <c r="T116">
        <v>0</v>
      </c>
      <c r="U116">
        <v>0</v>
      </c>
      <c r="V116">
        <v>58.3</v>
      </c>
      <c r="W116">
        <v>4.5</v>
      </c>
      <c r="X116">
        <v>20</v>
      </c>
      <c r="Y116">
        <v>1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0.11764705882352941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>
        <v>2025</v>
      </c>
      <c r="B117" t="s">
        <v>286</v>
      </c>
      <c r="C117" t="s">
        <v>55</v>
      </c>
      <c r="D117" t="str" cm="1">
        <f t="array" ref="D117">_xlfn.XLOOKUP(1,('26 WR'!A:A=E117)*('26 WR'!B:B=F117),'26 WR'!C:C)</f>
        <v>Malik Davis</v>
      </c>
      <c r="E117" t="s">
        <v>23</v>
      </c>
      <c r="F117">
        <v>76</v>
      </c>
      <c r="G117">
        <f>VLOOKUP(B117,[2]FantasyPros_2025_Overall_ADP_Ra!$B$2:$E$416,4,FALSE)</f>
        <v>282</v>
      </c>
      <c r="H117">
        <v>0</v>
      </c>
      <c r="I117">
        <v>0</v>
      </c>
      <c r="J117">
        <v>0</v>
      </c>
      <c r="K117">
        <v>0</v>
      </c>
      <c r="L117">
        <v>6.6</v>
      </c>
      <c r="M117">
        <v>2.6</v>
      </c>
      <c r="N117">
        <v>3.7</v>
      </c>
      <c r="O117">
        <v>1.8</v>
      </c>
      <c r="P117">
        <v>1.5</v>
      </c>
      <c r="Q117">
        <v>1.8</v>
      </c>
      <c r="R117">
        <v>0</v>
      </c>
      <c r="S117">
        <v>0</v>
      </c>
      <c r="T117">
        <v>0</v>
      </c>
      <c r="U117">
        <v>2.9</v>
      </c>
      <c r="V117">
        <v>35.9</v>
      </c>
      <c r="W117">
        <v>2.8</v>
      </c>
      <c r="X117">
        <v>20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>
        <v>2025</v>
      </c>
      <c r="B118" t="s">
        <v>290</v>
      </c>
      <c r="C118" t="s">
        <v>78</v>
      </c>
      <c r="D118" t="str" cm="1">
        <f t="array" ref="D118">_xlfn.XLOOKUP(1,('26 WR'!A:A=E118)*('26 WR'!B:B=F118),'26 WR'!C:C)</f>
        <v>Samaje Perine</v>
      </c>
      <c r="E118" t="s">
        <v>23</v>
      </c>
      <c r="F118">
        <v>77</v>
      </c>
      <c r="G118">
        <f>VLOOKUP(B118,[2]FantasyPros_2025_Overall_ADP_Ra!$B$2:$E$416,4,FALSE)</f>
        <v>290</v>
      </c>
      <c r="H118">
        <v>0.3</v>
      </c>
      <c r="I118">
        <v>9.8000000000000007</v>
      </c>
      <c r="J118">
        <v>0.8</v>
      </c>
      <c r="K118">
        <v>8.6999999999999993</v>
      </c>
      <c r="L118">
        <v>3.6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23.2</v>
      </c>
      <c r="W118">
        <v>4.5999999999999996</v>
      </c>
      <c r="X118">
        <v>20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>
        <v>2025</v>
      </c>
      <c r="B119" t="s">
        <v>291</v>
      </c>
      <c r="C119" t="s">
        <v>96</v>
      </c>
      <c r="D119" t="str" cm="1">
        <f t="array" ref="D119">_xlfn.XLOOKUP(1,('26 WR'!A:A=E119)*('26 WR'!B:B=F119),'26 WR'!C:C)</f>
        <v>Trey Benson</v>
      </c>
      <c r="E119" t="s">
        <v>23</v>
      </c>
      <c r="F119">
        <v>78</v>
      </c>
      <c r="G119">
        <f>VLOOKUP(B119,[2]FantasyPros_2025_Overall_ADP_Ra!$B$2:$E$416,4,FALSE)</f>
        <v>295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1.1000000000000001</v>
      </c>
      <c r="V119">
        <v>48.1</v>
      </c>
      <c r="W119">
        <v>6.9</v>
      </c>
      <c r="X119">
        <v>20</v>
      </c>
      <c r="Y119">
        <v>1</v>
      </c>
      <c r="Z119">
        <v>2</v>
      </c>
      <c r="AA119">
        <v>2</v>
      </c>
      <c r="AB119">
        <v>0</v>
      </c>
      <c r="AC119">
        <v>0</v>
      </c>
      <c r="AD119">
        <v>0</v>
      </c>
      <c r="AE119">
        <v>0.11764705882352941</v>
      </c>
      <c r="AF119">
        <v>0.2857142857142857</v>
      </c>
      <c r="AG119">
        <v>0</v>
      </c>
      <c r="AH119">
        <v>0</v>
      </c>
      <c r="AI119">
        <v>0</v>
      </c>
    </row>
    <row r="120" spans="1:35" x14ac:dyDescent="0.25">
      <c r="A120">
        <v>2025</v>
      </c>
      <c r="B120" t="s">
        <v>293</v>
      </c>
      <c r="C120" t="s">
        <v>29</v>
      </c>
      <c r="D120" t="str" cm="1">
        <f t="array" ref="D120">_xlfn.XLOOKUP(1,('26 WR'!A:A=E120)*('26 WR'!B:B=F120),'26 WR'!C:C)</f>
        <v>Demond Claiborne</v>
      </c>
      <c r="E120" t="s">
        <v>23</v>
      </c>
      <c r="F120">
        <v>79</v>
      </c>
      <c r="G120">
        <f>VLOOKUP(B120,[2]FantasyPros_2025_Overall_ADP_Ra!$B$2:$E$416,4,FALSE)</f>
        <v>298</v>
      </c>
      <c r="H120">
        <v>0.8</v>
      </c>
      <c r="I120">
        <v>3.3</v>
      </c>
      <c r="J120">
        <v>3.3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9.6</v>
      </c>
      <c r="W120">
        <v>1.9</v>
      </c>
      <c r="X120">
        <v>20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>
        <v>2025</v>
      </c>
      <c r="B121" t="s">
        <v>302</v>
      </c>
      <c r="C121" t="s">
        <v>108</v>
      </c>
      <c r="D121" t="str" cm="1">
        <f t="array" ref="D121">_xlfn.XLOOKUP(1,('26 WR'!A:A=E121)*('26 WR'!B:B=F121),'26 WR'!C:C)</f>
        <v>LeQuint Allen Jr.</v>
      </c>
      <c r="E121" t="s">
        <v>23</v>
      </c>
      <c r="F121">
        <v>80</v>
      </c>
      <c r="G121">
        <f>VLOOKUP(B121,[2]FantasyPros_2025_Overall_ADP_Ra!$B$2:$E$416,4,FALSE)</f>
        <v>318</v>
      </c>
      <c r="H121">
        <v>5.3</v>
      </c>
      <c r="I121">
        <v>6.6</v>
      </c>
      <c r="J121">
        <v>9.6</v>
      </c>
      <c r="K121">
        <v>31.4</v>
      </c>
      <c r="L121">
        <v>0</v>
      </c>
      <c r="M121">
        <v>9.6</v>
      </c>
      <c r="N121">
        <v>3.5</v>
      </c>
      <c r="O121">
        <v>3.5</v>
      </c>
      <c r="P121">
        <v>7.4</v>
      </c>
      <c r="Q121">
        <v>2.4</v>
      </c>
      <c r="R121">
        <v>29.5</v>
      </c>
      <c r="S121">
        <v>18.2</v>
      </c>
      <c r="T121">
        <v>6.5</v>
      </c>
      <c r="U121">
        <v>16.2</v>
      </c>
      <c r="V121">
        <v>221.3</v>
      </c>
      <c r="W121">
        <v>13</v>
      </c>
      <c r="X121">
        <v>20</v>
      </c>
      <c r="Y121">
        <v>1</v>
      </c>
      <c r="Z121">
        <v>7</v>
      </c>
      <c r="AA121">
        <v>7</v>
      </c>
      <c r="AB121">
        <v>4</v>
      </c>
      <c r="AC121">
        <v>2</v>
      </c>
      <c r="AD121">
        <v>1</v>
      </c>
      <c r="AE121">
        <v>0.41176470588235292</v>
      </c>
      <c r="AF121">
        <v>0.41176470588235292</v>
      </c>
      <c r="AG121">
        <v>0.23529411764705882</v>
      </c>
      <c r="AH121">
        <v>0.11764705882352941</v>
      </c>
      <c r="AI121">
        <v>5.8823529411764705E-2</v>
      </c>
    </row>
    <row r="122" spans="1:35" x14ac:dyDescent="0.25">
      <c r="A122">
        <v>2025</v>
      </c>
      <c r="B122" t="s">
        <v>305</v>
      </c>
      <c r="C122" t="s">
        <v>51</v>
      </c>
      <c r="D122" t="str" cm="1">
        <f t="array" ref="D122">_xlfn.XLOOKUP(1,('26 WR'!A:A=E122)*('26 WR'!B:B=F122),'26 WR'!C:C)</f>
        <v>Kaleb Johnson</v>
      </c>
      <c r="E122" t="s">
        <v>23</v>
      </c>
      <c r="F122">
        <v>81</v>
      </c>
      <c r="G122">
        <f>VLOOKUP(B122,[2]FantasyPros_2025_Overall_ADP_Ra!$B$2:$E$416,4,FALSE)</f>
        <v>320</v>
      </c>
      <c r="H122">
        <v>2.1</v>
      </c>
      <c r="I122">
        <v>1.3</v>
      </c>
      <c r="J122">
        <v>1.9</v>
      </c>
      <c r="K122">
        <v>1.7</v>
      </c>
      <c r="L122">
        <v>0</v>
      </c>
      <c r="M122">
        <v>2.2000000000000002</v>
      </c>
      <c r="N122">
        <v>1.4</v>
      </c>
      <c r="O122">
        <v>0</v>
      </c>
      <c r="P122">
        <v>2.1</v>
      </c>
      <c r="Q122">
        <v>1.6</v>
      </c>
      <c r="R122">
        <v>3.6</v>
      </c>
      <c r="S122">
        <v>0.2</v>
      </c>
      <c r="T122">
        <v>0</v>
      </c>
      <c r="U122">
        <v>2.8</v>
      </c>
      <c r="V122">
        <v>24.8</v>
      </c>
      <c r="W122">
        <v>1.5</v>
      </c>
      <c r="X122">
        <v>20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>
        <v>2025</v>
      </c>
      <c r="B123" t="s">
        <v>311</v>
      </c>
      <c r="C123" t="s">
        <v>65</v>
      </c>
      <c r="D123" t="str" cm="1">
        <f t="array" ref="D123">_xlfn.XLOOKUP(1,('26 WR'!A:A=E123)*('26 WR'!B:B=F123),'26 WR'!C:C)</f>
        <v>Jordan James</v>
      </c>
      <c r="E123" t="s">
        <v>23</v>
      </c>
      <c r="F123">
        <v>82</v>
      </c>
      <c r="G123">
        <f>VLOOKUP(B123,[2]FantasyPros_2025_Overall_ADP_Ra!$B$2:$E$416,4,FALSE)</f>
        <v>337</v>
      </c>
      <c r="H123">
        <v>0</v>
      </c>
      <c r="I123">
        <v>0</v>
      </c>
      <c r="J123">
        <v>0</v>
      </c>
      <c r="K123">
        <v>0</v>
      </c>
      <c r="L123">
        <v>2.5</v>
      </c>
      <c r="M123">
        <v>3.3</v>
      </c>
      <c r="N123">
        <v>2.5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>
        <v>0.8</v>
      </c>
      <c r="X123">
        <v>20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>
        <v>2025</v>
      </c>
      <c r="B124" t="s">
        <v>313</v>
      </c>
      <c r="C124" t="s">
        <v>65</v>
      </c>
      <c r="D124" t="str" cm="1">
        <f t="array" ref="D124">_xlfn.XLOOKUP(1,('26 WR'!A:A=E124)*('26 WR'!B:B=F124),'26 WR'!C:C)</f>
        <v>George Holani</v>
      </c>
      <c r="E124" t="s">
        <v>23</v>
      </c>
      <c r="F124">
        <v>83</v>
      </c>
      <c r="G124">
        <f>VLOOKUP(B124,[2]FantasyPros_2025_Overall_ADP_Ra!$B$2:$E$416,4,FALSE)</f>
        <v>339</v>
      </c>
      <c r="H124">
        <v>0</v>
      </c>
      <c r="I124">
        <v>0</v>
      </c>
      <c r="J124">
        <v>0</v>
      </c>
      <c r="K124">
        <v>0</v>
      </c>
      <c r="L124">
        <v>2.9</v>
      </c>
      <c r="M124">
        <v>22.8</v>
      </c>
      <c r="N124">
        <v>7.5</v>
      </c>
      <c r="O124">
        <v>19.7</v>
      </c>
      <c r="P124">
        <v>3</v>
      </c>
      <c r="Q124">
        <v>17.8</v>
      </c>
      <c r="R124">
        <v>3.2</v>
      </c>
      <c r="S124">
        <v>0</v>
      </c>
      <c r="T124">
        <v>20.7</v>
      </c>
      <c r="U124">
        <v>11.4</v>
      </c>
      <c r="V124">
        <v>117.9</v>
      </c>
      <c r="W124">
        <v>9.1</v>
      </c>
      <c r="X124">
        <v>20</v>
      </c>
      <c r="Y124">
        <v>1</v>
      </c>
      <c r="Z124">
        <v>5</v>
      </c>
      <c r="AA124">
        <v>4</v>
      </c>
      <c r="AB124">
        <v>2</v>
      </c>
      <c r="AC124">
        <v>0</v>
      </c>
      <c r="AD124">
        <v>0</v>
      </c>
      <c r="AE124">
        <v>0.29411764705882354</v>
      </c>
      <c r="AF124">
        <v>0.30769230769230771</v>
      </c>
      <c r="AG124">
        <v>0.15384615384615385</v>
      </c>
      <c r="AH124">
        <v>0</v>
      </c>
      <c r="AI124">
        <v>0</v>
      </c>
    </row>
    <row r="125" spans="1:35" x14ac:dyDescent="0.25">
      <c r="A125">
        <v>2025</v>
      </c>
      <c r="B125" t="s">
        <v>320</v>
      </c>
      <c r="C125" t="s">
        <v>45</v>
      </c>
      <c r="D125" t="str" cm="1">
        <f t="array" ref="D125">_xlfn.XLOOKUP(1,('26 WR'!A:A=E125)*('26 WR'!B:B=F125),'26 WR'!C:C)</f>
        <v>Brashard Smith</v>
      </c>
      <c r="E125" t="s">
        <v>23</v>
      </c>
      <c r="F125">
        <v>84</v>
      </c>
      <c r="G125">
        <f>VLOOKUP(B125,[2]FantasyPros_2025_Overall_ADP_Ra!$B$2:$E$416,4,FALSE)</f>
        <v>346</v>
      </c>
      <c r="H125">
        <v>0</v>
      </c>
      <c r="I125">
        <v>0</v>
      </c>
      <c r="J125">
        <v>0</v>
      </c>
      <c r="K125">
        <v>0.1</v>
      </c>
      <c r="L125">
        <v>18.3</v>
      </c>
      <c r="M125">
        <v>8.4</v>
      </c>
      <c r="N125">
        <v>5.6</v>
      </c>
      <c r="O125">
        <v>0</v>
      </c>
      <c r="P125">
        <v>0</v>
      </c>
      <c r="Q125">
        <v>0.4</v>
      </c>
      <c r="R125">
        <v>7.8</v>
      </c>
      <c r="S125">
        <v>8.8000000000000007</v>
      </c>
      <c r="T125">
        <v>11.4</v>
      </c>
      <c r="U125">
        <v>5.0999999999999996</v>
      </c>
      <c r="V125">
        <v>99</v>
      </c>
      <c r="W125">
        <v>7.6</v>
      </c>
      <c r="X125">
        <v>20</v>
      </c>
      <c r="Y125">
        <v>1</v>
      </c>
      <c r="Z125">
        <v>3</v>
      </c>
      <c r="AA125">
        <v>1</v>
      </c>
      <c r="AB125">
        <v>0</v>
      </c>
      <c r="AC125">
        <v>0</v>
      </c>
      <c r="AD125">
        <v>0</v>
      </c>
      <c r="AE125">
        <v>0.17647058823529413</v>
      </c>
      <c r="AF125">
        <v>7.6923076923076927E-2</v>
      </c>
      <c r="AG125">
        <v>0</v>
      </c>
      <c r="AH125">
        <v>0</v>
      </c>
      <c r="AI125">
        <v>0</v>
      </c>
    </row>
    <row r="126" spans="1:35" x14ac:dyDescent="0.25">
      <c r="A126">
        <v>2025</v>
      </c>
      <c r="B126" t="s">
        <v>321</v>
      </c>
      <c r="C126" t="s">
        <v>41</v>
      </c>
      <c r="D126" t="str" cm="1">
        <f t="array" ref="D126">_xlfn.XLOOKUP(1,('26 WR'!A:A=E126)*('26 WR'!B:B=F126),'26 WR'!C:C)</f>
        <v>Devin Singletary</v>
      </c>
      <c r="E126" t="s">
        <v>23</v>
      </c>
      <c r="F126">
        <v>85</v>
      </c>
      <c r="G126">
        <f>VLOOKUP(B126,[2]FantasyPros_2025_Overall_ADP_Ra!$B$2:$E$416,4,FALSE)</f>
        <v>350</v>
      </c>
      <c r="H126">
        <v>0.5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2.5</v>
      </c>
      <c r="S126">
        <v>0</v>
      </c>
      <c r="T126">
        <v>1.7</v>
      </c>
      <c r="U126">
        <v>3.3</v>
      </c>
      <c r="V126">
        <v>24.2</v>
      </c>
      <c r="W126">
        <v>1.6</v>
      </c>
      <c r="X126">
        <v>20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5.8823529411764705E-2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>
        <v>2025</v>
      </c>
      <c r="B127" t="s">
        <v>322</v>
      </c>
      <c r="C127" t="s">
        <v>45</v>
      </c>
      <c r="D127" t="str" cm="1">
        <f t="array" ref="D127">_xlfn.XLOOKUP(1,('26 WR'!A:A=E127)*('26 WR'!B:B=F127),'26 WR'!C:C)</f>
        <v>Jerome Ford</v>
      </c>
      <c r="E127" t="s">
        <v>23</v>
      </c>
      <c r="F127">
        <v>86</v>
      </c>
      <c r="G127">
        <f>VLOOKUP(B127,[2]FantasyPros_2025_Overall_ADP_Ra!$B$2:$E$416,4,FALSE)</f>
        <v>350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9.3000000000000007</v>
      </c>
      <c r="W127">
        <v>2.2999999999999998</v>
      </c>
      <c r="X127">
        <v>20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>
        <v>2025</v>
      </c>
      <c r="B128" t="s">
        <v>323</v>
      </c>
      <c r="C128" t="s">
        <v>96</v>
      </c>
      <c r="D128" t="str" cm="1">
        <f t="array" ref="D128">_xlfn.XLOOKUP(1,('26 WR'!A:A=E128)*('26 WR'!B:B=F128),'26 WR'!C:C)</f>
        <v>Jaleel McLaughlin</v>
      </c>
      <c r="E128" t="s">
        <v>23</v>
      </c>
      <c r="F128">
        <v>87</v>
      </c>
      <c r="G128">
        <f>VLOOKUP(B128,[2]FantasyPros_2025_Overall_ADP_Ra!$B$2:$E$416,4,FALSE)</f>
        <v>351</v>
      </c>
      <c r="H128">
        <v>0.9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</v>
      </c>
      <c r="O128">
        <v>4.0999999999999996</v>
      </c>
      <c r="P128">
        <v>2.2000000000000002</v>
      </c>
      <c r="Q128">
        <v>6.1</v>
      </c>
      <c r="R128">
        <v>0</v>
      </c>
      <c r="S128">
        <v>11.1</v>
      </c>
      <c r="T128">
        <v>9.9</v>
      </c>
      <c r="U128">
        <v>15.4</v>
      </c>
      <c r="V128">
        <v>60</v>
      </c>
      <c r="W128">
        <v>6.7</v>
      </c>
      <c r="X128">
        <v>20</v>
      </c>
      <c r="Y128">
        <v>1</v>
      </c>
      <c r="Z128">
        <v>3</v>
      </c>
      <c r="AA128">
        <v>1</v>
      </c>
      <c r="AB128">
        <v>0</v>
      </c>
      <c r="AC128">
        <v>0</v>
      </c>
      <c r="AD128">
        <v>0</v>
      </c>
      <c r="AE128">
        <v>0.17647058823529413</v>
      </c>
      <c r="AF128">
        <v>0.1111111111111111</v>
      </c>
      <c r="AG128">
        <v>0</v>
      </c>
      <c r="AH128">
        <v>0</v>
      </c>
      <c r="AI128">
        <v>0</v>
      </c>
    </row>
    <row r="129" spans="1:35" x14ac:dyDescent="0.25">
      <c r="A129">
        <v>2025</v>
      </c>
      <c r="B129" t="s">
        <v>325</v>
      </c>
      <c r="C129" t="s">
        <v>61</v>
      </c>
      <c r="D129" t="str" cm="1">
        <f t="array" ref="D129">_xlfn.XLOOKUP(1,('26 WR'!A:A=E129)*('26 WR'!B:B=F129),'26 WR'!C:C)</f>
        <v>Kendre Miller</v>
      </c>
      <c r="E129" t="s">
        <v>23</v>
      </c>
      <c r="F129">
        <v>88</v>
      </c>
      <c r="G129">
        <f>VLOOKUP(B129,[2]FantasyPros_2025_Overall_ADP_Ra!$B$2:$E$416,4,FALSE)</f>
        <v>354</v>
      </c>
      <c r="H129">
        <v>0.4</v>
      </c>
      <c r="I129">
        <v>0</v>
      </c>
      <c r="J129">
        <v>2.5</v>
      </c>
      <c r="K129">
        <v>11.1</v>
      </c>
      <c r="L129">
        <v>0</v>
      </c>
      <c r="M129">
        <v>1.7</v>
      </c>
      <c r="N129">
        <v>2.5</v>
      </c>
      <c r="O129">
        <v>11.7</v>
      </c>
      <c r="P129">
        <v>2.7</v>
      </c>
      <c r="Q129">
        <v>1.4</v>
      </c>
      <c r="R129">
        <v>13.9</v>
      </c>
      <c r="S129">
        <v>26.5</v>
      </c>
      <c r="T129">
        <v>1.4</v>
      </c>
      <c r="U129">
        <v>1</v>
      </c>
      <c r="V129">
        <v>94.5</v>
      </c>
      <c r="W129">
        <v>5.6</v>
      </c>
      <c r="X129">
        <v>20</v>
      </c>
      <c r="Y129">
        <v>1</v>
      </c>
      <c r="Z129">
        <v>4</v>
      </c>
      <c r="AA129">
        <v>1</v>
      </c>
      <c r="AB129">
        <v>1</v>
      </c>
      <c r="AC129">
        <v>1</v>
      </c>
      <c r="AD129">
        <v>0</v>
      </c>
      <c r="AE129">
        <v>0.23529411764705882</v>
      </c>
      <c r="AF129">
        <v>5.8823529411764705E-2</v>
      </c>
      <c r="AG129">
        <v>5.8823529411764705E-2</v>
      </c>
      <c r="AH129">
        <v>5.8823529411764705E-2</v>
      </c>
      <c r="AI129">
        <v>0</v>
      </c>
    </row>
    <row r="130" spans="1:35" x14ac:dyDescent="0.25">
      <c r="A130">
        <v>2025</v>
      </c>
      <c r="B130" t="s">
        <v>330</v>
      </c>
      <c r="C130" t="s">
        <v>90</v>
      </c>
      <c r="D130" t="str" cm="1">
        <f t="array" ref="D130">_xlfn.XLOOKUP(1,('26 WR'!A:A=E130)*('26 WR'!B:B=F130),'26 WR'!C:C)</f>
        <v>Emari Demercado</v>
      </c>
      <c r="E130" t="s">
        <v>23</v>
      </c>
      <c r="F130">
        <v>89</v>
      </c>
      <c r="G130">
        <f>VLOOKUP(B130,[2]FantasyPros_2025_Overall_ADP_Ra!$B$2:$E$416,4,FALSE)</f>
        <v>368</v>
      </c>
      <c r="H130">
        <v>1.8</v>
      </c>
      <c r="I130">
        <v>1.6</v>
      </c>
      <c r="J130">
        <v>0</v>
      </c>
      <c r="K130">
        <v>4.7</v>
      </c>
      <c r="L130">
        <v>6.3</v>
      </c>
      <c r="M130">
        <v>1.1000000000000001</v>
      </c>
      <c r="N130">
        <v>5.2</v>
      </c>
      <c r="O130">
        <v>17.899999999999999</v>
      </c>
      <c r="P130">
        <v>0</v>
      </c>
      <c r="Q130">
        <v>2.1</v>
      </c>
      <c r="R130">
        <v>1.1000000000000001</v>
      </c>
      <c r="S130">
        <v>0.7</v>
      </c>
      <c r="T130">
        <v>0</v>
      </c>
      <c r="U130">
        <v>2.2000000000000002</v>
      </c>
      <c r="V130">
        <v>71.2</v>
      </c>
      <c r="W130">
        <v>4.5</v>
      </c>
      <c r="X130">
        <v>20</v>
      </c>
      <c r="Y130">
        <v>1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0.11764705882352941</v>
      </c>
      <c r="AF130">
        <v>6.25E-2</v>
      </c>
      <c r="AG130">
        <v>0</v>
      </c>
      <c r="AH130">
        <v>0</v>
      </c>
      <c r="AI130">
        <v>0</v>
      </c>
    </row>
    <row r="131" spans="1:35" x14ac:dyDescent="0.25">
      <c r="A131">
        <v>2025</v>
      </c>
      <c r="B131" t="s">
        <v>332</v>
      </c>
      <c r="C131" t="s">
        <v>61</v>
      </c>
      <c r="D131" t="str" cm="1">
        <f t="array" ref="D131">_xlfn.XLOOKUP(1,('26 WR'!A:A=E131)*('26 WR'!B:B=F131),'26 WR'!C:C)</f>
        <v>Najee Harris</v>
      </c>
      <c r="E131" t="s">
        <v>23</v>
      </c>
      <c r="F131">
        <v>90</v>
      </c>
      <c r="G131">
        <f>VLOOKUP(B131,[2]FantasyPros_2025_Overall_ADP_Ra!$B$2:$E$416,4,FALSE)</f>
        <v>376</v>
      </c>
      <c r="H131">
        <v>1.3</v>
      </c>
      <c r="I131">
        <v>5.7</v>
      </c>
      <c r="J131">
        <v>0</v>
      </c>
      <c r="K131">
        <v>1.1000000000000001</v>
      </c>
      <c r="L131">
        <v>0</v>
      </c>
      <c r="M131">
        <v>0.1</v>
      </c>
      <c r="N131">
        <v>0</v>
      </c>
      <c r="O131">
        <v>0</v>
      </c>
      <c r="P131">
        <v>4.4000000000000004</v>
      </c>
      <c r="Q131">
        <v>0</v>
      </c>
      <c r="R131">
        <v>0.8</v>
      </c>
      <c r="S131">
        <v>3.6</v>
      </c>
      <c r="T131">
        <v>2.9</v>
      </c>
      <c r="U131">
        <v>1.6</v>
      </c>
      <c r="V131">
        <v>32.700000000000003</v>
      </c>
      <c r="W131">
        <v>1.9</v>
      </c>
      <c r="X131">
        <v>20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>
        <v>2025</v>
      </c>
      <c r="B132" t="s">
        <v>334</v>
      </c>
      <c r="C132" t="s">
        <v>68</v>
      </c>
      <c r="D132" t="str" cm="1">
        <f t="array" ref="D132">_xlfn.XLOOKUP(1,('26 WR'!A:A=E132)*('26 WR'!B:B=F132),'26 WR'!C:C)</f>
        <v>Trevor Etienne</v>
      </c>
      <c r="E132" t="s">
        <v>23</v>
      </c>
      <c r="F132">
        <v>91</v>
      </c>
      <c r="G132">
        <f>VLOOKUP(B132,[2]FantasyPros_2025_Overall_ADP_Ra!$B$2:$E$416,4,FALSE)</f>
        <v>382</v>
      </c>
      <c r="H132">
        <v>2.4</v>
      </c>
      <c r="I132">
        <v>0.6</v>
      </c>
      <c r="J132">
        <v>3.1</v>
      </c>
      <c r="K132">
        <v>0</v>
      </c>
      <c r="L132">
        <v>1</v>
      </c>
      <c r="M132">
        <v>2.6</v>
      </c>
      <c r="N132">
        <v>0</v>
      </c>
      <c r="O132">
        <v>0.6</v>
      </c>
      <c r="P132">
        <v>10</v>
      </c>
      <c r="Q132">
        <v>4.5999999999999996</v>
      </c>
      <c r="R132">
        <v>15</v>
      </c>
      <c r="S132">
        <v>8.1999999999999993</v>
      </c>
      <c r="T132">
        <v>5.5</v>
      </c>
      <c r="U132">
        <v>5.9</v>
      </c>
      <c r="V132">
        <v>100.3</v>
      </c>
      <c r="W132">
        <v>5.9</v>
      </c>
      <c r="X132">
        <v>20</v>
      </c>
      <c r="Y132">
        <v>1</v>
      </c>
      <c r="Z132">
        <v>2</v>
      </c>
      <c r="AA132">
        <v>1</v>
      </c>
      <c r="AB132">
        <v>0</v>
      </c>
      <c r="AC132">
        <v>0</v>
      </c>
      <c r="AD132">
        <v>0</v>
      </c>
      <c r="AE132">
        <v>0.11764705882352941</v>
      </c>
      <c r="AF132">
        <v>5.8823529411764705E-2</v>
      </c>
      <c r="AG132">
        <v>0</v>
      </c>
      <c r="AH132">
        <v>0</v>
      </c>
      <c r="AI132">
        <v>0</v>
      </c>
    </row>
    <row r="133" spans="1:35" x14ac:dyDescent="0.25">
      <c r="A133">
        <v>2025</v>
      </c>
      <c r="B133" t="s">
        <v>335</v>
      </c>
      <c r="C133" t="s">
        <v>74</v>
      </c>
      <c r="D133" t="str" cm="1">
        <f t="array" ref="D133">_xlfn.XLOOKUP(1,('26 WR'!A:A=E133)*('26 WR'!B:B=F133),'26 WR'!C:C)</f>
        <v>Kaelon Black</v>
      </c>
      <c r="E133" t="s">
        <v>23</v>
      </c>
      <c r="F133">
        <v>92</v>
      </c>
      <c r="G133">
        <f>VLOOKUP(B133,[2]FantasyPros_2025_Overall_ADP_Ra!$B$2:$E$416,4,FALSE)</f>
        <v>386</v>
      </c>
      <c r="H133">
        <v>0</v>
      </c>
      <c r="I133">
        <v>6</v>
      </c>
      <c r="J133">
        <v>4.2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0.9</v>
      </c>
      <c r="Q133">
        <v>9.1</v>
      </c>
      <c r="R133">
        <v>0.6</v>
      </c>
      <c r="S133">
        <v>0</v>
      </c>
      <c r="T133">
        <v>0</v>
      </c>
      <c r="U133">
        <v>0</v>
      </c>
      <c r="V133">
        <v>20.8</v>
      </c>
      <c r="W133">
        <v>2.1</v>
      </c>
      <c r="X133">
        <v>20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>
        <v>2025</v>
      </c>
      <c r="B134" t="s">
        <v>339</v>
      </c>
      <c r="C134" t="s">
        <v>92</v>
      </c>
      <c r="D134" t="str" cm="1">
        <f t="array" ref="D134">_xlfn.XLOOKUP(1,('26 WR'!A:A=E134)*('26 WR'!B:B=F134),'26 WR'!C:C)</f>
        <v>Adam Randall</v>
      </c>
      <c r="E134" t="s">
        <v>23</v>
      </c>
      <c r="F134">
        <v>93</v>
      </c>
      <c r="G134">
        <f>VLOOKUP(B134,[2]FantasyPros_2025_Overall_ADP_Ra!$B$2:$E$416,4,FALSE)</f>
        <v>399</v>
      </c>
      <c r="H134">
        <v>0.4</v>
      </c>
      <c r="I134">
        <v>1.2</v>
      </c>
      <c r="J134">
        <v>2</v>
      </c>
      <c r="K134">
        <v>3.3</v>
      </c>
      <c r="L134">
        <v>3.9</v>
      </c>
      <c r="M134">
        <v>1.7</v>
      </c>
      <c r="N134">
        <v>0</v>
      </c>
      <c r="O134">
        <v>1.6</v>
      </c>
      <c r="P134">
        <v>0</v>
      </c>
      <c r="Q134">
        <v>0</v>
      </c>
      <c r="R134">
        <v>0.2</v>
      </c>
      <c r="S134">
        <v>0</v>
      </c>
      <c r="T134">
        <v>1.4</v>
      </c>
      <c r="U134">
        <v>0</v>
      </c>
      <c r="V134">
        <v>11.7</v>
      </c>
      <c r="W134">
        <v>0.7</v>
      </c>
      <c r="X134">
        <v>20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>
        <v>2025</v>
      </c>
      <c r="B135" t="s">
        <v>341</v>
      </c>
      <c r="C135" t="s">
        <v>21</v>
      </c>
      <c r="D135" t="str" cm="1">
        <f t="array" ref="D135">_xlfn.XLOOKUP(1,('26 WR'!A:A=E135)*('26 WR'!B:B=F135),'26 WR'!C:C)</f>
        <v>Tahj Brooks</v>
      </c>
      <c r="E135" t="s">
        <v>23</v>
      </c>
      <c r="F135">
        <v>94</v>
      </c>
      <c r="G135">
        <f>VLOOKUP(B135,[2]FantasyPros_2025_Overall_ADP_Ra!$B$2:$E$416,4,FALSE)</f>
        <v>402</v>
      </c>
      <c r="H135">
        <v>2.6</v>
      </c>
      <c r="I135">
        <v>0</v>
      </c>
      <c r="J135">
        <v>0.1</v>
      </c>
      <c r="K135">
        <v>0.4</v>
      </c>
      <c r="L135">
        <v>4.9000000000000004</v>
      </c>
      <c r="M135">
        <v>5.2</v>
      </c>
      <c r="N135">
        <v>3.1</v>
      </c>
      <c r="O135">
        <v>17</v>
      </c>
      <c r="P135">
        <v>0.5</v>
      </c>
      <c r="Q135">
        <v>0</v>
      </c>
      <c r="R135">
        <v>0</v>
      </c>
      <c r="S135">
        <v>0</v>
      </c>
      <c r="T135">
        <v>5.4</v>
      </c>
      <c r="U135">
        <v>4.8</v>
      </c>
      <c r="V135">
        <v>77.900000000000006</v>
      </c>
      <c r="W135">
        <v>5.2</v>
      </c>
      <c r="X135">
        <v>20</v>
      </c>
      <c r="Y135">
        <v>1</v>
      </c>
      <c r="Z135">
        <v>2</v>
      </c>
      <c r="AA135">
        <v>1</v>
      </c>
      <c r="AB135">
        <v>0</v>
      </c>
      <c r="AC135">
        <v>0</v>
      </c>
      <c r="AD135">
        <v>0</v>
      </c>
      <c r="AE135">
        <v>0.11764705882352941</v>
      </c>
      <c r="AF135">
        <v>6.6666666666666666E-2</v>
      </c>
      <c r="AG135">
        <v>0</v>
      </c>
      <c r="AH135">
        <v>0</v>
      </c>
      <c r="AI135">
        <v>0</v>
      </c>
    </row>
    <row r="136" spans="1:35" x14ac:dyDescent="0.25">
      <c r="A136">
        <v>2025</v>
      </c>
      <c r="B136" t="s">
        <v>350</v>
      </c>
      <c r="C136" t="s">
        <v>35</v>
      </c>
      <c r="D136" t="str" cm="1">
        <f t="array" ref="D136">_xlfn.XLOOKUP(1,('26 WR'!A:A=E136)*('26 WR'!B:B=F136),'26 WR'!C:C)</f>
        <v>Isaac Guerendo</v>
      </c>
      <c r="E136" t="s">
        <v>23</v>
      </c>
      <c r="F136">
        <v>95</v>
      </c>
      <c r="G136">
        <f>VLOOKUP(B136,[2]FantasyPros_2025_Overall_ADP_Ra!$B$2:$E$416,4,FALSE)</f>
        <v>428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10.9</v>
      </c>
      <c r="W136">
        <v>10.9</v>
      </c>
      <c r="X136">
        <v>20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5.8823529411764705E-2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>
        <v>2025</v>
      </c>
      <c r="B137" t="s">
        <v>27</v>
      </c>
      <c r="C137" t="s">
        <v>29</v>
      </c>
      <c r="D137" t="str" cm="1">
        <f t="array" ref="D137">_xlfn.XLOOKUP(1,('26 WR'!A:A=E137)*('26 WR'!B:B=F137),'26 WR'!C:C)</f>
        <v>Trey McBride</v>
      </c>
      <c r="E137" t="s">
        <v>28</v>
      </c>
      <c r="F137">
        <v>1</v>
      </c>
      <c r="G137">
        <f>VLOOKUP(B137,[2]FantasyPros_2025_Overall_ADP_Ra!$B$2:$E$416,4,FALSE)</f>
        <v>18</v>
      </c>
      <c r="H137">
        <v>15.3</v>
      </c>
      <c r="I137">
        <v>8.8000000000000007</v>
      </c>
      <c r="J137">
        <v>9.8000000000000007</v>
      </c>
      <c r="K137">
        <v>9.6</v>
      </c>
      <c r="L137">
        <v>0</v>
      </c>
      <c r="M137">
        <v>0</v>
      </c>
      <c r="N137">
        <v>0</v>
      </c>
      <c r="O137">
        <v>0</v>
      </c>
      <c r="P137">
        <v>43.3</v>
      </c>
      <c r="Q137">
        <v>3.7</v>
      </c>
      <c r="R137">
        <v>14.2</v>
      </c>
      <c r="S137">
        <v>11.5</v>
      </c>
      <c r="T137">
        <v>22.3</v>
      </c>
      <c r="U137">
        <v>14.6</v>
      </c>
      <c r="V137">
        <v>176.2</v>
      </c>
      <c r="W137">
        <v>14.7</v>
      </c>
      <c r="X137">
        <v>2</v>
      </c>
      <c r="Y137">
        <v>1</v>
      </c>
      <c r="Z137">
        <v>7</v>
      </c>
      <c r="AA137">
        <v>3</v>
      </c>
      <c r="AB137">
        <v>2</v>
      </c>
      <c r="AC137">
        <v>1</v>
      </c>
      <c r="AD137">
        <v>1</v>
      </c>
      <c r="AE137">
        <v>0.41176470588235292</v>
      </c>
      <c r="AF137">
        <v>0.25</v>
      </c>
      <c r="AG137">
        <v>0.16666666666666666</v>
      </c>
      <c r="AH137">
        <v>8.3333333333333329E-2</v>
      </c>
      <c r="AI137">
        <v>8.3333333333333329E-2</v>
      </c>
    </row>
    <row r="138" spans="1:35" x14ac:dyDescent="0.25">
      <c r="A138">
        <v>2025</v>
      </c>
      <c r="B138" t="s">
        <v>44</v>
      </c>
      <c r="C138" t="s">
        <v>45</v>
      </c>
      <c r="D138" t="str" cm="1">
        <f t="array" ref="D138">_xlfn.XLOOKUP(1,('26 WR'!A:A=E138)*('26 WR'!B:B=F138),'26 WR'!C:C)</f>
        <v>Brock Bowers</v>
      </c>
      <c r="E138" t="s">
        <v>28</v>
      </c>
      <c r="F138">
        <v>2</v>
      </c>
      <c r="G138">
        <f>VLOOKUP(B138,[2]FantasyPros_2025_Overall_ADP_Ra!$B$2:$E$416,4,FALSE)</f>
        <v>25</v>
      </c>
      <c r="H138">
        <v>12.1</v>
      </c>
      <c r="I138">
        <v>13.8</v>
      </c>
      <c r="J138">
        <v>15.3</v>
      </c>
      <c r="K138">
        <v>12.2</v>
      </c>
      <c r="L138">
        <v>9.1</v>
      </c>
      <c r="M138">
        <v>21.2</v>
      </c>
      <c r="N138">
        <v>29.4</v>
      </c>
      <c r="O138">
        <v>0</v>
      </c>
      <c r="P138">
        <v>16.5</v>
      </c>
      <c r="Q138">
        <v>27.7</v>
      </c>
      <c r="R138">
        <v>27.5</v>
      </c>
      <c r="S138">
        <v>16.899999999999999</v>
      </c>
      <c r="T138">
        <v>22.2</v>
      </c>
      <c r="U138">
        <v>10.8</v>
      </c>
      <c r="V138">
        <v>315.89999999999998</v>
      </c>
      <c r="W138">
        <v>18.600000000000001</v>
      </c>
      <c r="X138">
        <v>3</v>
      </c>
      <c r="Y138">
        <v>1</v>
      </c>
      <c r="Z138">
        <v>15</v>
      </c>
      <c r="AA138">
        <v>10</v>
      </c>
      <c r="AB138">
        <v>7</v>
      </c>
      <c r="AC138">
        <v>4</v>
      </c>
      <c r="AD138">
        <v>1</v>
      </c>
      <c r="AE138">
        <v>0.88235294117647056</v>
      </c>
      <c r="AF138">
        <v>0.58823529411764708</v>
      </c>
      <c r="AG138">
        <v>0.41176470588235292</v>
      </c>
      <c r="AH138">
        <v>0.23529411764705882</v>
      </c>
      <c r="AI138">
        <v>5.8823529411764705E-2</v>
      </c>
    </row>
    <row r="139" spans="1:35" x14ac:dyDescent="0.25">
      <c r="A139">
        <v>2025</v>
      </c>
      <c r="B139" t="s">
        <v>63</v>
      </c>
      <c r="C139" t="s">
        <v>26</v>
      </c>
      <c r="D139" t="str" cm="1">
        <f t="array" ref="D139">_xlfn.XLOOKUP(1,('26 WR'!A:A=E139)*('26 WR'!B:B=F139),'26 WR'!C:C)</f>
        <v>Colston Loveland</v>
      </c>
      <c r="E139" t="s">
        <v>28</v>
      </c>
      <c r="F139">
        <v>3</v>
      </c>
      <c r="G139">
        <f>VLOOKUP(B139,[2]FantasyPros_2025_Overall_ADP_Ra!$B$2:$E$416,4,FALSE)</f>
        <v>36</v>
      </c>
      <c r="H139">
        <v>12.5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14.3</v>
      </c>
      <c r="P139">
        <v>6.9</v>
      </c>
      <c r="Q139">
        <v>23.4</v>
      </c>
      <c r="R139">
        <v>24.7</v>
      </c>
      <c r="S139">
        <v>13.8</v>
      </c>
      <c r="T139">
        <v>10.7</v>
      </c>
      <c r="U139">
        <v>0</v>
      </c>
      <c r="V139">
        <v>161.5</v>
      </c>
      <c r="W139">
        <v>14.7</v>
      </c>
      <c r="X139">
        <v>3</v>
      </c>
      <c r="Y139">
        <v>1</v>
      </c>
      <c r="Z139">
        <v>8</v>
      </c>
      <c r="AA139">
        <v>4</v>
      </c>
      <c r="AB139">
        <v>4</v>
      </c>
      <c r="AC139">
        <v>0</v>
      </c>
      <c r="AD139">
        <v>0</v>
      </c>
      <c r="AE139">
        <v>0.47058823529411764</v>
      </c>
      <c r="AF139">
        <v>0.36363636363636365</v>
      </c>
      <c r="AG139">
        <v>0.36363636363636365</v>
      </c>
      <c r="AH139">
        <v>0</v>
      </c>
      <c r="AI139">
        <v>0</v>
      </c>
    </row>
    <row r="140" spans="1:35" x14ac:dyDescent="0.25">
      <c r="A140">
        <v>2025</v>
      </c>
      <c r="B140" t="s">
        <v>94</v>
      </c>
      <c r="C140" t="s">
        <v>37</v>
      </c>
      <c r="D140" t="str" cm="1">
        <f t="array" ref="D140">_xlfn.XLOOKUP(1,('26 WR'!A:A=E140)*('26 WR'!B:B=F140),'26 WR'!C:C)</f>
        <v>Tyler Warren</v>
      </c>
      <c r="E140" t="s">
        <v>28</v>
      </c>
      <c r="F140">
        <v>4</v>
      </c>
      <c r="G140">
        <f>VLOOKUP(B140,[2]FantasyPros_2025_Overall_ADP_Ra!$B$2:$E$416,4,FALSE)</f>
        <v>67</v>
      </c>
      <c r="H140">
        <v>13.9</v>
      </c>
      <c r="I140">
        <v>5.6</v>
      </c>
      <c r="J140">
        <v>7.3</v>
      </c>
      <c r="K140">
        <v>6.9</v>
      </c>
      <c r="L140">
        <v>20.2</v>
      </c>
      <c r="M140">
        <v>16.5</v>
      </c>
      <c r="N140">
        <v>4.5</v>
      </c>
      <c r="O140">
        <v>0</v>
      </c>
      <c r="P140">
        <v>21.7</v>
      </c>
      <c r="Q140">
        <v>10.3</v>
      </c>
      <c r="R140">
        <v>0</v>
      </c>
      <c r="S140">
        <v>0</v>
      </c>
      <c r="T140">
        <v>0</v>
      </c>
      <c r="U140">
        <v>0</v>
      </c>
      <c r="V140">
        <v>106.9</v>
      </c>
      <c r="W140">
        <v>11.9</v>
      </c>
      <c r="X140">
        <v>6</v>
      </c>
      <c r="Y140">
        <v>1</v>
      </c>
      <c r="Z140">
        <v>5</v>
      </c>
      <c r="AA140">
        <v>3</v>
      </c>
      <c r="AB140">
        <v>2</v>
      </c>
      <c r="AC140">
        <v>0</v>
      </c>
      <c r="AD140">
        <v>0</v>
      </c>
      <c r="AE140">
        <v>0.29411764705882354</v>
      </c>
      <c r="AF140">
        <v>0.33333333333333331</v>
      </c>
      <c r="AG140">
        <v>0.22222222222222221</v>
      </c>
      <c r="AH140">
        <v>0</v>
      </c>
      <c r="AI140">
        <v>0</v>
      </c>
    </row>
    <row r="141" spans="1:35" x14ac:dyDescent="0.25">
      <c r="A141">
        <v>2025</v>
      </c>
      <c r="B141" t="s">
        <v>103</v>
      </c>
      <c r="C141" t="s">
        <v>55</v>
      </c>
      <c r="D141" t="str" cm="1">
        <f t="array" ref="D141">_xlfn.XLOOKUP(1,('26 WR'!A:A=E141)*('26 WR'!B:B=F141),'26 WR'!C:C)</f>
        <v>Harold Fannin Jr.</v>
      </c>
      <c r="E141" t="s">
        <v>28</v>
      </c>
      <c r="F141">
        <v>5</v>
      </c>
      <c r="G141">
        <f>VLOOKUP(B141,[2]FantasyPros_2025_Overall_ADP_Ra!$B$2:$E$416,4,FALSE)</f>
        <v>74</v>
      </c>
      <c r="H141">
        <v>14.9</v>
      </c>
      <c r="I141">
        <v>11.9</v>
      </c>
      <c r="J141">
        <v>6.8</v>
      </c>
      <c r="K141">
        <v>18.3</v>
      </c>
      <c r="L141">
        <v>14.4</v>
      </c>
      <c r="M141">
        <v>18.3</v>
      </c>
      <c r="N141">
        <v>16.899999999999999</v>
      </c>
      <c r="O141">
        <v>9.3000000000000007</v>
      </c>
      <c r="P141">
        <v>7.6</v>
      </c>
      <c r="Q141">
        <v>17.899999999999999</v>
      </c>
      <c r="R141">
        <v>0</v>
      </c>
      <c r="S141">
        <v>9.5</v>
      </c>
      <c r="T141">
        <v>11.2</v>
      </c>
      <c r="U141">
        <v>3.7</v>
      </c>
      <c r="V141">
        <v>188.5</v>
      </c>
      <c r="W141">
        <v>11.1</v>
      </c>
      <c r="X141">
        <v>7</v>
      </c>
      <c r="Y141">
        <v>1</v>
      </c>
      <c r="Z141">
        <v>8</v>
      </c>
      <c r="AA141">
        <v>4</v>
      </c>
      <c r="AB141">
        <v>0</v>
      </c>
      <c r="AC141">
        <v>0</v>
      </c>
      <c r="AD141">
        <v>0</v>
      </c>
      <c r="AE141">
        <v>0.47058823529411764</v>
      </c>
      <c r="AF141">
        <v>0.23529411764705882</v>
      </c>
      <c r="AG141">
        <v>0</v>
      </c>
      <c r="AH141">
        <v>0</v>
      </c>
      <c r="AI141">
        <v>0</v>
      </c>
    </row>
    <row r="142" spans="1:35" x14ac:dyDescent="0.25">
      <c r="A142">
        <v>2025</v>
      </c>
      <c r="B142" t="s">
        <v>100</v>
      </c>
      <c r="C142" t="s">
        <v>85</v>
      </c>
      <c r="D142" t="str" cm="1">
        <f t="array" ref="D142">_xlfn.XLOOKUP(1,('26 WR'!A:A=E142)*('26 WR'!B:B=F142),'26 WR'!C:C)</f>
        <v>Tucker Kraft</v>
      </c>
      <c r="E142" t="s">
        <v>28</v>
      </c>
      <c r="F142">
        <v>6</v>
      </c>
      <c r="G142">
        <f>VLOOKUP(B142,[2]FantasyPros_2025_Overall_ADP_Ra!$B$2:$E$416,4,FALSE)</f>
        <v>78</v>
      </c>
      <c r="H142">
        <v>12.7</v>
      </c>
      <c r="I142">
        <v>10.1</v>
      </c>
      <c r="J142">
        <v>6.6</v>
      </c>
      <c r="K142">
        <v>9.8000000000000007</v>
      </c>
      <c r="L142">
        <v>19.100000000000001</v>
      </c>
      <c r="M142">
        <v>13.8</v>
      </c>
      <c r="N142">
        <v>8.4</v>
      </c>
      <c r="O142">
        <v>21.9</v>
      </c>
      <c r="P142">
        <v>12.6</v>
      </c>
      <c r="Q142">
        <v>0</v>
      </c>
      <c r="R142">
        <v>24.1</v>
      </c>
      <c r="S142">
        <v>8.4</v>
      </c>
      <c r="T142">
        <v>15.5</v>
      </c>
      <c r="U142">
        <v>1.8</v>
      </c>
      <c r="V142">
        <v>193.2</v>
      </c>
      <c r="W142">
        <v>11.4</v>
      </c>
      <c r="X142">
        <v>7</v>
      </c>
      <c r="Y142">
        <v>1</v>
      </c>
      <c r="Z142">
        <v>9</v>
      </c>
      <c r="AA142">
        <v>4</v>
      </c>
      <c r="AB142">
        <v>2</v>
      </c>
      <c r="AC142">
        <v>0</v>
      </c>
      <c r="AD142">
        <v>0</v>
      </c>
      <c r="AE142">
        <v>0.52941176470588236</v>
      </c>
      <c r="AF142">
        <v>0.23529411764705882</v>
      </c>
      <c r="AG142">
        <v>0.11764705882352941</v>
      </c>
      <c r="AH142">
        <v>0</v>
      </c>
      <c r="AI142">
        <v>0</v>
      </c>
    </row>
    <row r="143" spans="1:35" x14ac:dyDescent="0.25">
      <c r="A143">
        <v>2025</v>
      </c>
      <c r="B143" t="s">
        <v>104</v>
      </c>
      <c r="C143" t="s">
        <v>31</v>
      </c>
      <c r="D143" t="str" cm="1">
        <f t="array" ref="D143">_xlfn.XLOOKUP(1,('26 WR'!A:A=E143)*('26 WR'!B:B=F143),'26 WR'!C:C)</f>
        <v>Kyle Pitts Sr.</v>
      </c>
      <c r="E143" t="s">
        <v>28</v>
      </c>
      <c r="F143">
        <v>7</v>
      </c>
      <c r="G143">
        <f>VLOOKUP(B143,[2]FantasyPros_2025_Overall_ADP_Ra!$B$2:$E$416,4,FALSE)</f>
        <v>84</v>
      </c>
      <c r="H143">
        <v>4.5</v>
      </c>
      <c r="I143">
        <v>2.2000000000000002</v>
      </c>
      <c r="J143">
        <v>15.9</v>
      </c>
      <c r="K143">
        <v>7.9</v>
      </c>
      <c r="L143">
        <v>9.8000000000000007</v>
      </c>
      <c r="M143">
        <v>0</v>
      </c>
      <c r="N143">
        <v>10.3</v>
      </c>
      <c r="O143">
        <v>4.5999999999999996</v>
      </c>
      <c r="P143">
        <v>9.1</v>
      </c>
      <c r="Q143">
        <v>2.8</v>
      </c>
      <c r="R143">
        <v>6.9</v>
      </c>
      <c r="S143">
        <v>5.9</v>
      </c>
      <c r="T143">
        <v>11.9</v>
      </c>
      <c r="U143">
        <v>9.1999999999999993</v>
      </c>
      <c r="V143">
        <v>112.8</v>
      </c>
      <c r="W143">
        <v>7.5</v>
      </c>
      <c r="X143">
        <v>7</v>
      </c>
      <c r="Y143">
        <v>1</v>
      </c>
      <c r="Z143">
        <v>4</v>
      </c>
      <c r="AA143">
        <v>1</v>
      </c>
      <c r="AB143">
        <v>0</v>
      </c>
      <c r="AC143">
        <v>0</v>
      </c>
      <c r="AD143">
        <v>0</v>
      </c>
      <c r="AE143">
        <v>0.23529411764705882</v>
      </c>
      <c r="AF143">
        <v>6.6666666666666666E-2</v>
      </c>
      <c r="AG143">
        <v>0</v>
      </c>
      <c r="AH143">
        <v>0</v>
      </c>
      <c r="AI143">
        <v>0</v>
      </c>
    </row>
    <row r="144" spans="1:35" x14ac:dyDescent="0.25">
      <c r="A144">
        <v>2025</v>
      </c>
      <c r="B144" t="s">
        <v>128</v>
      </c>
      <c r="C144" t="s">
        <v>98</v>
      </c>
      <c r="D144" t="str" cm="1">
        <f t="array" ref="D144">_xlfn.XLOOKUP(1,('26 WR'!A:A=E144)*('26 WR'!B:B=F144),'26 WR'!C:C)</f>
        <v>Sam LaPorta</v>
      </c>
      <c r="E144" t="s">
        <v>28</v>
      </c>
      <c r="F144">
        <v>8</v>
      </c>
      <c r="G144">
        <f>VLOOKUP(B144,[2]FantasyPros_2025_Overall_ADP_Ra!$B$2:$E$416,4,FALSE)</f>
        <v>95</v>
      </c>
      <c r="H144">
        <v>5.0999999999999996</v>
      </c>
      <c r="I144">
        <v>2.2000000000000002</v>
      </c>
      <c r="J144">
        <v>0</v>
      </c>
      <c r="K144">
        <v>6.9</v>
      </c>
      <c r="L144">
        <v>13.3</v>
      </c>
      <c r="M144">
        <v>9.9</v>
      </c>
      <c r="N144">
        <v>9.1999999999999993</v>
      </c>
      <c r="O144">
        <v>7.6</v>
      </c>
      <c r="P144">
        <v>0</v>
      </c>
      <c r="Q144">
        <v>3.2</v>
      </c>
      <c r="R144">
        <v>7.3</v>
      </c>
      <c r="S144">
        <v>0</v>
      </c>
      <c r="T144">
        <v>13.9</v>
      </c>
      <c r="U144">
        <v>2.8</v>
      </c>
      <c r="V144">
        <v>102.8</v>
      </c>
      <c r="W144">
        <v>6.4</v>
      </c>
      <c r="X144">
        <v>8</v>
      </c>
      <c r="Y144">
        <v>1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0.11764705882352941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>
        <v>2025</v>
      </c>
      <c r="B145" t="s">
        <v>130</v>
      </c>
      <c r="C145" t="s">
        <v>41</v>
      </c>
      <c r="D145" t="str" cm="1">
        <f t="array" ref="D145">_xlfn.XLOOKUP(1,('26 WR'!A:A=E145)*('26 WR'!B:B=F145),'26 WR'!C:C)</f>
        <v>Travis Kelce</v>
      </c>
      <c r="E145" t="s">
        <v>28</v>
      </c>
      <c r="F145">
        <v>9</v>
      </c>
      <c r="G145">
        <f>VLOOKUP(B145,[2]FantasyPros_2025_Overall_ADP_Ra!$B$2:$E$416,4,FALSE)</f>
        <v>97</v>
      </c>
      <c r="H145">
        <v>1.5</v>
      </c>
      <c r="I145">
        <v>1.4</v>
      </c>
      <c r="J145">
        <v>27.1</v>
      </c>
      <c r="K145">
        <v>10</v>
      </c>
      <c r="L145">
        <v>4.2</v>
      </c>
      <c r="M145">
        <v>6.6</v>
      </c>
      <c r="N145">
        <v>0</v>
      </c>
      <c r="O145">
        <v>6.4</v>
      </c>
      <c r="P145">
        <v>16.600000000000001</v>
      </c>
      <c r="Q145">
        <v>10.4</v>
      </c>
      <c r="R145">
        <v>15.7</v>
      </c>
      <c r="S145">
        <v>2.1</v>
      </c>
      <c r="T145">
        <v>8.6999999999999993</v>
      </c>
      <c r="U145">
        <v>1.9</v>
      </c>
      <c r="V145">
        <v>131</v>
      </c>
      <c r="W145">
        <v>7.7</v>
      </c>
      <c r="X145">
        <v>9</v>
      </c>
      <c r="Y145">
        <v>1</v>
      </c>
      <c r="Z145">
        <v>4</v>
      </c>
      <c r="AA145">
        <v>3</v>
      </c>
      <c r="AB145">
        <v>1</v>
      </c>
      <c r="AC145">
        <v>1</v>
      </c>
      <c r="AD145">
        <v>0</v>
      </c>
      <c r="AE145">
        <v>0.23529411764705882</v>
      </c>
      <c r="AF145">
        <v>0.17647058823529413</v>
      </c>
      <c r="AG145">
        <v>5.8823529411764705E-2</v>
      </c>
      <c r="AH145">
        <v>5.8823529411764705E-2</v>
      </c>
      <c r="AI145">
        <v>0</v>
      </c>
    </row>
    <row r="146" spans="1:35" x14ac:dyDescent="0.25">
      <c r="A146">
        <v>2025</v>
      </c>
      <c r="B146" t="s">
        <v>134</v>
      </c>
      <c r="C146" t="s">
        <v>132</v>
      </c>
      <c r="D146" t="str" cm="1">
        <f t="array" ref="D146">_xlfn.XLOOKUP(1,('26 WR'!A:A=E146)*('26 WR'!B:B=F146),'26 WR'!C:C)</f>
        <v>Jake Ferguson</v>
      </c>
      <c r="E146" t="s">
        <v>28</v>
      </c>
      <c r="F146">
        <v>10</v>
      </c>
      <c r="G146">
        <f>VLOOKUP(B146,[2]FantasyPros_2025_Overall_ADP_Ra!$B$2:$E$416,4,FALSE)</f>
        <v>102</v>
      </c>
      <c r="H146">
        <v>6.7</v>
      </c>
      <c r="I146">
        <v>8</v>
      </c>
      <c r="J146">
        <v>9</v>
      </c>
      <c r="K146">
        <v>3.1</v>
      </c>
      <c r="L146">
        <v>18.7</v>
      </c>
      <c r="M146">
        <v>5.8</v>
      </c>
      <c r="N146">
        <v>0</v>
      </c>
      <c r="O146">
        <v>13.7</v>
      </c>
      <c r="P146">
        <v>0</v>
      </c>
      <c r="Q146">
        <v>10.1</v>
      </c>
      <c r="R146">
        <v>1.7</v>
      </c>
      <c r="S146">
        <v>0</v>
      </c>
      <c r="T146">
        <v>2.4</v>
      </c>
      <c r="U146">
        <v>7.1</v>
      </c>
      <c r="V146">
        <v>86.3</v>
      </c>
      <c r="W146">
        <v>7.2</v>
      </c>
      <c r="X146">
        <v>9</v>
      </c>
      <c r="Y146">
        <v>1</v>
      </c>
      <c r="Z146">
        <v>3</v>
      </c>
      <c r="AA146">
        <v>1</v>
      </c>
      <c r="AB146">
        <v>0</v>
      </c>
      <c r="AC146">
        <v>0</v>
      </c>
      <c r="AD146">
        <v>0</v>
      </c>
      <c r="AE146">
        <v>0.17647058823529413</v>
      </c>
      <c r="AF146">
        <v>8.3333333333333329E-2</v>
      </c>
      <c r="AG146">
        <v>0</v>
      </c>
      <c r="AH146">
        <v>0</v>
      </c>
      <c r="AI146">
        <v>0</v>
      </c>
    </row>
    <row r="147" spans="1:35" x14ac:dyDescent="0.25">
      <c r="A147">
        <v>2025</v>
      </c>
      <c r="B147" t="s">
        <v>137</v>
      </c>
      <c r="C147" t="s">
        <v>110</v>
      </c>
      <c r="D147" t="str" cm="1">
        <f t="array" ref="D147">_xlfn.XLOOKUP(1,('26 WR'!A:A=E147)*('26 WR'!B:B=F147),'26 WR'!C:C)</f>
        <v>Dalton Kincaid</v>
      </c>
      <c r="E147" t="s">
        <v>28</v>
      </c>
      <c r="F147">
        <v>11</v>
      </c>
      <c r="G147">
        <f>VLOOKUP(B147,[2]FantasyPros_2025_Overall_ADP_Ra!$B$2:$E$416,4,FALSE)</f>
        <v>107</v>
      </c>
      <c r="H147">
        <v>3.2</v>
      </c>
      <c r="I147">
        <v>0</v>
      </c>
      <c r="J147">
        <v>4.0999999999999996</v>
      </c>
      <c r="K147">
        <v>0</v>
      </c>
      <c r="L147">
        <v>0</v>
      </c>
      <c r="M147">
        <v>3.1</v>
      </c>
      <c r="N147">
        <v>5.4</v>
      </c>
      <c r="O147">
        <v>6.8</v>
      </c>
      <c r="P147">
        <v>29.8</v>
      </c>
      <c r="Q147">
        <v>9.5</v>
      </c>
      <c r="R147">
        <v>7</v>
      </c>
      <c r="S147">
        <v>14.9</v>
      </c>
      <c r="T147">
        <v>5.8</v>
      </c>
      <c r="U147">
        <v>12.9</v>
      </c>
      <c r="V147">
        <v>165.1</v>
      </c>
      <c r="W147">
        <v>10.3</v>
      </c>
      <c r="X147">
        <v>9</v>
      </c>
      <c r="Y147">
        <v>1</v>
      </c>
      <c r="Z147">
        <v>6</v>
      </c>
      <c r="AA147">
        <v>3</v>
      </c>
      <c r="AB147">
        <v>3</v>
      </c>
      <c r="AC147">
        <v>2</v>
      </c>
      <c r="AD147">
        <v>0</v>
      </c>
      <c r="AE147">
        <v>0.35294117647058826</v>
      </c>
      <c r="AF147">
        <v>0.1875</v>
      </c>
      <c r="AG147">
        <v>0.1875</v>
      </c>
      <c r="AH147">
        <v>0.125</v>
      </c>
      <c r="AI147">
        <v>0</v>
      </c>
    </row>
    <row r="148" spans="1:35" x14ac:dyDescent="0.25">
      <c r="A148">
        <v>2025</v>
      </c>
      <c r="B148" t="s">
        <v>140</v>
      </c>
      <c r="C148" t="s">
        <v>61</v>
      </c>
      <c r="D148" t="str" cm="1">
        <f t="array" ref="D148">_xlfn.XLOOKUP(1,('26 WR'!A:A=E148)*('26 WR'!B:B=F148),'26 WR'!C:C)</f>
        <v>George Kittle</v>
      </c>
      <c r="E148" t="s">
        <v>28</v>
      </c>
      <c r="F148">
        <v>12</v>
      </c>
      <c r="G148">
        <f>VLOOKUP(B148,[2]FantasyPros_2025_Overall_ADP_Ra!$B$2:$E$416,4,FALSE)</f>
        <v>109</v>
      </c>
      <c r="H148">
        <v>9.9</v>
      </c>
      <c r="I148">
        <v>24.4</v>
      </c>
      <c r="J148">
        <v>5.9</v>
      </c>
      <c r="K148">
        <v>10.6</v>
      </c>
      <c r="L148">
        <v>0</v>
      </c>
      <c r="M148">
        <v>12.3</v>
      </c>
      <c r="N148">
        <v>16.8</v>
      </c>
      <c r="O148">
        <v>33.299999999999997</v>
      </c>
      <c r="P148">
        <v>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117.2</v>
      </c>
      <c r="W148">
        <v>14.7</v>
      </c>
      <c r="X148">
        <v>10</v>
      </c>
      <c r="Y148">
        <v>1</v>
      </c>
      <c r="Z148">
        <v>5</v>
      </c>
      <c r="AA148">
        <v>3</v>
      </c>
      <c r="AB148">
        <v>2</v>
      </c>
      <c r="AC148">
        <v>1</v>
      </c>
      <c r="AD148">
        <v>1</v>
      </c>
      <c r="AE148">
        <v>0.29411764705882354</v>
      </c>
      <c r="AF148">
        <v>0.375</v>
      </c>
      <c r="AG148">
        <v>0.25</v>
      </c>
      <c r="AH148">
        <v>0.125</v>
      </c>
      <c r="AI148">
        <v>0.125</v>
      </c>
    </row>
    <row r="149" spans="1:35" x14ac:dyDescent="0.25">
      <c r="A149">
        <v>2025</v>
      </c>
      <c r="B149" t="s">
        <v>151</v>
      </c>
      <c r="C149" t="s">
        <v>24</v>
      </c>
      <c r="D149" t="str" cm="1">
        <f t="array" ref="D149">_xlfn.XLOOKUP(1,('26 WR'!A:A=E149)*('26 WR'!B:B=F149),'26 WR'!C:C)</f>
        <v>Isaiah Likely</v>
      </c>
      <c r="E149" t="s">
        <v>28</v>
      </c>
      <c r="F149">
        <v>13</v>
      </c>
      <c r="G149">
        <f>VLOOKUP(B149,[2]FantasyPros_2025_Overall_ADP_Ra!$B$2:$E$416,4,FALSE)</f>
        <v>125</v>
      </c>
      <c r="H149">
        <v>12.9</v>
      </c>
      <c r="I149">
        <v>7.7</v>
      </c>
      <c r="J149">
        <v>7.9</v>
      </c>
      <c r="K149">
        <v>18</v>
      </c>
      <c r="L149">
        <v>0</v>
      </c>
      <c r="M149">
        <v>4.8</v>
      </c>
      <c r="N149">
        <v>13.2</v>
      </c>
      <c r="O149">
        <v>14.9</v>
      </c>
      <c r="P149">
        <v>7.8</v>
      </c>
      <c r="Q149">
        <v>5.8</v>
      </c>
      <c r="R149">
        <v>3.4</v>
      </c>
      <c r="S149">
        <v>4.5</v>
      </c>
      <c r="T149">
        <v>15.2</v>
      </c>
      <c r="U149">
        <v>15</v>
      </c>
      <c r="V149">
        <v>210.8</v>
      </c>
      <c r="W149">
        <v>12.4</v>
      </c>
      <c r="X149">
        <v>11</v>
      </c>
      <c r="Y149">
        <v>1</v>
      </c>
      <c r="Z149">
        <v>9</v>
      </c>
      <c r="AA149">
        <v>4</v>
      </c>
      <c r="AB149">
        <v>1</v>
      </c>
      <c r="AC149">
        <v>1</v>
      </c>
      <c r="AD149">
        <v>1</v>
      </c>
      <c r="AE149">
        <v>0.52941176470588236</v>
      </c>
      <c r="AF149">
        <v>0.23529411764705882</v>
      </c>
      <c r="AG149">
        <v>5.8823529411764705E-2</v>
      </c>
      <c r="AH149">
        <v>5.8823529411764705E-2</v>
      </c>
      <c r="AI149">
        <v>5.8823529411764705E-2</v>
      </c>
    </row>
    <row r="150" spans="1:35" x14ac:dyDescent="0.25">
      <c r="A150">
        <v>2025</v>
      </c>
      <c r="B150" t="s">
        <v>157</v>
      </c>
      <c r="C150" t="s">
        <v>68</v>
      </c>
      <c r="D150" t="str" cm="1">
        <f t="array" ref="D150">_xlfn.XLOOKUP(1,('26 WR'!A:A=E150)*('26 WR'!B:B=F150),'26 WR'!C:C)</f>
        <v>Dallas Goedert</v>
      </c>
      <c r="E150" t="s">
        <v>28</v>
      </c>
      <c r="F150">
        <v>14</v>
      </c>
      <c r="G150">
        <f>VLOOKUP(B150,[2]FantasyPros_2025_Overall_ADP_Ra!$B$2:$E$416,4,FALSE)</f>
        <v>130</v>
      </c>
      <c r="H150">
        <v>14.8</v>
      </c>
      <c r="I150">
        <v>7.7</v>
      </c>
      <c r="J150">
        <v>17.600000000000001</v>
      </c>
      <c r="K150">
        <v>9.8000000000000007</v>
      </c>
      <c r="L150">
        <v>16.8</v>
      </c>
      <c r="M150">
        <v>0</v>
      </c>
      <c r="N150">
        <v>0</v>
      </c>
      <c r="O150">
        <v>3.3</v>
      </c>
      <c r="P150">
        <v>22.1</v>
      </c>
      <c r="Q150">
        <v>5.7</v>
      </c>
      <c r="R150">
        <v>0</v>
      </c>
      <c r="S150">
        <v>0</v>
      </c>
      <c r="T150">
        <v>0</v>
      </c>
      <c r="U150">
        <v>14.1</v>
      </c>
      <c r="V150">
        <v>126.1</v>
      </c>
      <c r="W150">
        <v>10.5</v>
      </c>
      <c r="X150">
        <v>11</v>
      </c>
      <c r="Y150">
        <v>1</v>
      </c>
      <c r="Z150">
        <v>5</v>
      </c>
      <c r="AA150">
        <v>3</v>
      </c>
      <c r="AB150">
        <v>1</v>
      </c>
      <c r="AC150">
        <v>0</v>
      </c>
      <c r="AD150">
        <v>0</v>
      </c>
      <c r="AE150">
        <v>0.29411764705882354</v>
      </c>
      <c r="AF150">
        <v>0.25</v>
      </c>
      <c r="AG150">
        <v>8.3333333333333329E-2</v>
      </c>
      <c r="AH150">
        <v>0</v>
      </c>
      <c r="AI150">
        <v>0</v>
      </c>
    </row>
    <row r="151" spans="1:35" x14ac:dyDescent="0.25">
      <c r="A151">
        <v>2025</v>
      </c>
      <c r="B151" t="s">
        <v>162</v>
      </c>
      <c r="C151" t="s">
        <v>35</v>
      </c>
      <c r="D151" t="str" cm="1">
        <f t="array" ref="D151">_xlfn.XLOOKUP(1,('26 WR'!A:A=E151)*('26 WR'!B:B=F151),'26 WR'!C:C)</f>
        <v>Mark Andrews</v>
      </c>
      <c r="E151" t="s">
        <v>28</v>
      </c>
      <c r="F151">
        <v>15</v>
      </c>
      <c r="G151">
        <f>VLOOKUP(B151,[2]FantasyPros_2025_Overall_ADP_Ra!$B$2:$E$416,4,FALSE)</f>
        <v>134</v>
      </c>
      <c r="H151">
        <v>7.3</v>
      </c>
      <c r="I151">
        <v>16.8</v>
      </c>
      <c r="J151">
        <v>21.2</v>
      </c>
      <c r="K151">
        <v>17</v>
      </c>
      <c r="L151">
        <v>23.9</v>
      </c>
      <c r="M151">
        <v>12.3</v>
      </c>
      <c r="N151">
        <v>21.9</v>
      </c>
      <c r="O151">
        <v>0</v>
      </c>
      <c r="P151">
        <v>8</v>
      </c>
      <c r="Q151">
        <v>0</v>
      </c>
      <c r="R151">
        <v>11.6</v>
      </c>
      <c r="S151">
        <v>11.1</v>
      </c>
      <c r="T151">
        <v>8.6</v>
      </c>
      <c r="U151">
        <v>10.8</v>
      </c>
      <c r="V151">
        <v>188.1</v>
      </c>
      <c r="W151">
        <v>11.1</v>
      </c>
      <c r="X151">
        <v>12</v>
      </c>
      <c r="Y151">
        <v>1</v>
      </c>
      <c r="Z151">
        <v>9</v>
      </c>
      <c r="AA151">
        <v>5</v>
      </c>
      <c r="AB151">
        <v>3</v>
      </c>
      <c r="AC151">
        <v>0</v>
      </c>
      <c r="AD151">
        <v>0</v>
      </c>
      <c r="AE151">
        <v>0.52941176470588236</v>
      </c>
      <c r="AF151">
        <v>0.29411764705882354</v>
      </c>
      <c r="AG151">
        <v>0.17647058823529413</v>
      </c>
      <c r="AH151">
        <v>0</v>
      </c>
      <c r="AI151">
        <v>0</v>
      </c>
    </row>
    <row r="152" spans="1:35" x14ac:dyDescent="0.25">
      <c r="A152">
        <v>2025</v>
      </c>
      <c r="B152" t="s">
        <v>166</v>
      </c>
      <c r="C152" t="s">
        <v>33</v>
      </c>
      <c r="D152" t="str" cm="1">
        <f t="array" ref="D152">_xlfn.XLOOKUP(1,('26 WR'!A:A=E152)*('26 WR'!B:B=F152),'26 WR'!C:C)</f>
        <v>Juwan Johnson</v>
      </c>
      <c r="E152" t="s">
        <v>28</v>
      </c>
      <c r="F152">
        <v>16</v>
      </c>
      <c r="G152">
        <f>VLOOKUP(B152,[2]FantasyPros_2025_Overall_ADP_Ra!$B$2:$E$416,4,FALSE)</f>
        <v>141</v>
      </c>
      <c r="H152">
        <v>11.4</v>
      </c>
      <c r="I152">
        <v>0</v>
      </c>
      <c r="J152">
        <v>10.3</v>
      </c>
      <c r="K152">
        <v>19.7</v>
      </c>
      <c r="L152">
        <v>10.9</v>
      </c>
      <c r="M152">
        <v>26</v>
      </c>
      <c r="N152">
        <v>4.8</v>
      </c>
      <c r="O152">
        <v>17.8</v>
      </c>
      <c r="P152">
        <v>0</v>
      </c>
      <c r="Q152">
        <v>8.3000000000000007</v>
      </c>
      <c r="R152">
        <v>4.4000000000000004</v>
      </c>
      <c r="S152">
        <v>4</v>
      </c>
      <c r="T152">
        <v>4.7</v>
      </c>
      <c r="U152">
        <v>15.8</v>
      </c>
      <c r="V152">
        <v>185.1</v>
      </c>
      <c r="W152">
        <v>12.3</v>
      </c>
      <c r="X152">
        <v>12</v>
      </c>
      <c r="Y152">
        <v>1</v>
      </c>
      <c r="Z152">
        <v>9</v>
      </c>
      <c r="AA152">
        <v>5</v>
      </c>
      <c r="AB152">
        <v>2</v>
      </c>
      <c r="AC152">
        <v>1</v>
      </c>
      <c r="AD152">
        <v>0</v>
      </c>
      <c r="AE152">
        <v>0.52941176470588236</v>
      </c>
      <c r="AF152">
        <v>0.33333333333333331</v>
      </c>
      <c r="AG152">
        <v>0.13333333333333333</v>
      </c>
      <c r="AH152">
        <v>6.6666666666666666E-2</v>
      </c>
      <c r="AI152">
        <v>0</v>
      </c>
    </row>
    <row r="153" spans="1:35" x14ac:dyDescent="0.25">
      <c r="A153">
        <v>2025</v>
      </c>
      <c r="B153" t="s">
        <v>171</v>
      </c>
      <c r="C153" t="s">
        <v>80</v>
      </c>
      <c r="D153" t="str" cm="1">
        <f t="array" ref="D153">_xlfn.XLOOKUP(1,('26 WR'!A:A=E153)*('26 WR'!B:B=F153),'26 WR'!C:C)</f>
        <v>Oronde Gadsden II</v>
      </c>
      <c r="E153" t="s">
        <v>28</v>
      </c>
      <c r="F153">
        <v>17</v>
      </c>
      <c r="G153">
        <f>VLOOKUP(B153,[2]FantasyPros_2025_Overall_ADP_Ra!$B$2:$E$416,4,FALSE)</f>
        <v>145</v>
      </c>
      <c r="H153">
        <v>11.6</v>
      </c>
      <c r="I153">
        <v>18.399999999999999</v>
      </c>
      <c r="J153">
        <v>6.8</v>
      </c>
      <c r="K153">
        <v>6.1</v>
      </c>
      <c r="L153">
        <v>0</v>
      </c>
      <c r="M153">
        <v>16.3</v>
      </c>
      <c r="N153">
        <v>12.7</v>
      </c>
      <c r="O153">
        <v>5.6</v>
      </c>
      <c r="P153">
        <v>8.6</v>
      </c>
      <c r="Q153">
        <v>9.4</v>
      </c>
      <c r="R153">
        <v>8.1999999999999993</v>
      </c>
      <c r="S153">
        <v>0</v>
      </c>
      <c r="T153">
        <v>20.6</v>
      </c>
      <c r="U153">
        <v>2.1</v>
      </c>
      <c r="V153">
        <v>126.4</v>
      </c>
      <c r="W153">
        <v>9.6999999999999993</v>
      </c>
      <c r="X153">
        <v>13</v>
      </c>
      <c r="Y153">
        <v>1</v>
      </c>
      <c r="Z153">
        <v>5</v>
      </c>
      <c r="AA153">
        <v>3</v>
      </c>
      <c r="AB153">
        <v>1</v>
      </c>
      <c r="AC153">
        <v>0</v>
      </c>
      <c r="AD153">
        <v>0</v>
      </c>
      <c r="AE153">
        <v>0.29411764705882354</v>
      </c>
      <c r="AF153">
        <v>0.23076923076923078</v>
      </c>
      <c r="AG153">
        <v>7.6923076923076927E-2</v>
      </c>
      <c r="AH153">
        <v>0</v>
      </c>
      <c r="AI153">
        <v>0</v>
      </c>
    </row>
    <row r="154" spans="1:35" x14ac:dyDescent="0.25">
      <c r="A154">
        <v>2025</v>
      </c>
      <c r="B154" t="s">
        <v>173</v>
      </c>
      <c r="C154" t="s">
        <v>51</v>
      </c>
      <c r="D154" t="str" cm="1">
        <f t="array" ref="D154">_xlfn.XLOOKUP(1,('26 WR'!A:A=E154)*('26 WR'!B:B=F154),'26 WR'!C:C)</f>
        <v>Brenton Strange</v>
      </c>
      <c r="E154" t="s">
        <v>28</v>
      </c>
      <c r="F154">
        <v>18</v>
      </c>
      <c r="G154">
        <f>VLOOKUP(B154,[2]FantasyPros_2025_Overall_ADP_Ra!$B$2:$E$416,4,FALSE)</f>
        <v>155</v>
      </c>
      <c r="H154">
        <v>9.9</v>
      </c>
      <c r="I154">
        <v>4.7</v>
      </c>
      <c r="J154">
        <v>12.1</v>
      </c>
      <c r="K154">
        <v>10.5</v>
      </c>
      <c r="L154">
        <v>3.2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14.3</v>
      </c>
      <c r="T154">
        <v>13.5</v>
      </c>
      <c r="U154">
        <v>5.7</v>
      </c>
      <c r="V154">
        <v>118</v>
      </c>
      <c r="W154">
        <v>9.8000000000000007</v>
      </c>
      <c r="X154">
        <v>13</v>
      </c>
      <c r="Y154">
        <v>1</v>
      </c>
      <c r="Z154">
        <v>6</v>
      </c>
      <c r="AA154">
        <v>1</v>
      </c>
      <c r="AB154">
        <v>0</v>
      </c>
      <c r="AC154">
        <v>0</v>
      </c>
      <c r="AD154">
        <v>0</v>
      </c>
      <c r="AE154">
        <v>0.35294117647058826</v>
      </c>
      <c r="AF154">
        <v>8.3333333333333329E-2</v>
      </c>
      <c r="AG154">
        <v>0</v>
      </c>
      <c r="AH154">
        <v>0</v>
      </c>
      <c r="AI154">
        <v>0</v>
      </c>
    </row>
    <row r="155" spans="1:35" x14ac:dyDescent="0.25">
      <c r="A155">
        <v>2025</v>
      </c>
      <c r="B155" t="s">
        <v>174</v>
      </c>
      <c r="C155" t="s">
        <v>78</v>
      </c>
      <c r="D155" t="str" cm="1">
        <f t="array" ref="D155">_xlfn.XLOOKUP(1,('26 WR'!A:A=E155)*('26 WR'!B:B=F155),'26 WR'!C:C)</f>
        <v>Hunter Henry</v>
      </c>
      <c r="E155" t="s">
        <v>28</v>
      </c>
      <c r="F155">
        <v>19</v>
      </c>
      <c r="G155">
        <f>VLOOKUP(B155,[2]FantasyPros_2025_Overall_ADP_Ra!$B$2:$E$416,4,FALSE)</f>
        <v>163</v>
      </c>
      <c r="H155">
        <v>10.6</v>
      </c>
      <c r="I155">
        <v>1.9</v>
      </c>
      <c r="J155">
        <v>29</v>
      </c>
      <c r="K155">
        <v>11.9</v>
      </c>
      <c r="L155">
        <v>6.6</v>
      </c>
      <c r="M155">
        <v>5.7</v>
      </c>
      <c r="N155">
        <v>7.3</v>
      </c>
      <c r="O155">
        <v>7.7</v>
      </c>
      <c r="P155">
        <v>9.1</v>
      </c>
      <c r="Q155">
        <v>1.9</v>
      </c>
      <c r="R155">
        <v>8.5</v>
      </c>
      <c r="S155">
        <v>24.5</v>
      </c>
      <c r="T155">
        <v>11.3</v>
      </c>
      <c r="U155">
        <v>0</v>
      </c>
      <c r="V155">
        <v>178.8</v>
      </c>
      <c r="W155">
        <v>10.5</v>
      </c>
      <c r="X155">
        <v>14</v>
      </c>
      <c r="Y155">
        <v>1</v>
      </c>
      <c r="Z155">
        <v>8</v>
      </c>
      <c r="AA155">
        <v>3</v>
      </c>
      <c r="AB155">
        <v>2</v>
      </c>
      <c r="AC155">
        <v>1</v>
      </c>
      <c r="AD155">
        <v>0</v>
      </c>
      <c r="AE155">
        <v>0.47058823529411764</v>
      </c>
      <c r="AF155">
        <v>0.17647058823529413</v>
      </c>
      <c r="AG155">
        <v>0.11764705882352941</v>
      </c>
      <c r="AH155">
        <v>5.8823529411764705E-2</v>
      </c>
      <c r="AI155">
        <v>0</v>
      </c>
    </row>
    <row r="156" spans="1:35" x14ac:dyDescent="0.25">
      <c r="A156">
        <v>2025</v>
      </c>
      <c r="B156" t="s">
        <v>176</v>
      </c>
      <c r="C156" t="s">
        <v>114</v>
      </c>
      <c r="D156" t="str" cm="1">
        <f t="array" ref="D156">_xlfn.XLOOKUP(1,('26 WR'!A:A=E156)*('26 WR'!B:B=F156),'26 WR'!C:C)</f>
        <v>Chig Okonkwo</v>
      </c>
      <c r="E156" t="s">
        <v>28</v>
      </c>
      <c r="F156">
        <v>20</v>
      </c>
      <c r="G156">
        <f>VLOOKUP(B156,[2]FantasyPros_2025_Overall_ADP_Ra!$B$2:$E$416,4,FALSE)</f>
        <v>170</v>
      </c>
      <c r="H156">
        <v>4.9000000000000004</v>
      </c>
      <c r="I156">
        <v>7.5</v>
      </c>
      <c r="J156">
        <v>11.6</v>
      </c>
      <c r="K156">
        <v>1.4</v>
      </c>
      <c r="L156">
        <v>8.8000000000000007</v>
      </c>
      <c r="M156">
        <v>10.6</v>
      </c>
      <c r="N156">
        <v>0</v>
      </c>
      <c r="O156">
        <v>9.3000000000000007</v>
      </c>
      <c r="P156">
        <v>3</v>
      </c>
      <c r="Q156">
        <v>0</v>
      </c>
      <c r="R156">
        <v>8.6</v>
      </c>
      <c r="S156">
        <v>7</v>
      </c>
      <c r="T156">
        <v>6.9</v>
      </c>
      <c r="U156">
        <v>4</v>
      </c>
      <c r="V156">
        <v>124</v>
      </c>
      <c r="W156">
        <v>7.3</v>
      </c>
      <c r="X156">
        <v>15</v>
      </c>
      <c r="Y156">
        <v>1</v>
      </c>
      <c r="Z156">
        <v>4</v>
      </c>
      <c r="AA156">
        <v>1</v>
      </c>
      <c r="AB156">
        <v>0</v>
      </c>
      <c r="AC156">
        <v>0</v>
      </c>
      <c r="AD156">
        <v>0</v>
      </c>
      <c r="AE156">
        <v>0.23529411764705882</v>
      </c>
      <c r="AF156">
        <v>5.8823529411764705E-2</v>
      </c>
      <c r="AG156">
        <v>0</v>
      </c>
      <c r="AH156">
        <v>0</v>
      </c>
      <c r="AI156">
        <v>0</v>
      </c>
    </row>
    <row r="157" spans="1:35" x14ac:dyDescent="0.25">
      <c r="A157">
        <v>2025</v>
      </c>
      <c r="B157" t="s">
        <v>179</v>
      </c>
      <c r="C157" t="s">
        <v>41</v>
      </c>
      <c r="D157" t="str" cm="1">
        <f t="array" ref="D157">_xlfn.XLOOKUP(1,('26 WR'!A:A=E157)*('26 WR'!B:B=F157),'26 WR'!C:C)</f>
        <v>Dalton Schultz</v>
      </c>
      <c r="E157" t="s">
        <v>28</v>
      </c>
      <c r="F157">
        <v>21</v>
      </c>
      <c r="G157">
        <f>VLOOKUP(B157,[2]FantasyPros_2025_Overall_ADP_Ra!$B$2:$E$416,4,FALSE)</f>
        <v>173</v>
      </c>
      <c r="H157">
        <v>0</v>
      </c>
      <c r="I157">
        <v>0</v>
      </c>
      <c r="J157">
        <v>0</v>
      </c>
      <c r="K157">
        <v>0</v>
      </c>
      <c r="L157">
        <v>2.2000000000000002</v>
      </c>
      <c r="M157">
        <v>2.6</v>
      </c>
      <c r="N157">
        <v>0</v>
      </c>
      <c r="O157">
        <v>2.8</v>
      </c>
      <c r="P157">
        <v>9</v>
      </c>
      <c r="Q157">
        <v>3.7</v>
      </c>
      <c r="R157">
        <v>3.5</v>
      </c>
      <c r="S157">
        <v>2</v>
      </c>
      <c r="T157">
        <v>12.5</v>
      </c>
      <c r="U157">
        <v>12.5</v>
      </c>
      <c r="V157">
        <v>61.7</v>
      </c>
      <c r="W157">
        <v>4.4000000000000004</v>
      </c>
      <c r="X157">
        <v>15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0.11764705882352941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>
        <v>2025</v>
      </c>
      <c r="B158" t="s">
        <v>181</v>
      </c>
      <c r="C158" t="s">
        <v>108</v>
      </c>
      <c r="D158" t="str" cm="1">
        <f t="array" ref="D158">_xlfn.XLOOKUP(1,('26 WR'!A:A=E158)*('26 WR'!B:B=F158),'26 WR'!C:C)</f>
        <v>T.J. Hockenson</v>
      </c>
      <c r="E158" t="s">
        <v>28</v>
      </c>
      <c r="F158">
        <v>22</v>
      </c>
      <c r="G158">
        <f>VLOOKUP(B158,[2]FantasyPros_2025_Overall_ADP_Ra!$B$2:$E$416,4,FALSE)</f>
        <v>175</v>
      </c>
      <c r="H158">
        <v>12.5</v>
      </c>
      <c r="I158">
        <v>6.7</v>
      </c>
      <c r="J158">
        <v>5.3</v>
      </c>
      <c r="K158">
        <v>2.6</v>
      </c>
      <c r="L158">
        <v>0</v>
      </c>
      <c r="M158">
        <v>5.8</v>
      </c>
      <c r="N158">
        <v>11.8</v>
      </c>
      <c r="O158">
        <v>3.7</v>
      </c>
      <c r="P158">
        <v>5.5</v>
      </c>
      <c r="Q158">
        <v>1.4</v>
      </c>
      <c r="R158">
        <v>0</v>
      </c>
      <c r="S158">
        <v>5.8</v>
      </c>
      <c r="T158">
        <v>1.6</v>
      </c>
      <c r="U158">
        <v>0</v>
      </c>
      <c r="V158">
        <v>85.2</v>
      </c>
      <c r="W158">
        <v>5</v>
      </c>
      <c r="X158">
        <v>15</v>
      </c>
      <c r="Y158">
        <v>1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0.17647058823529413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>
        <v>2025</v>
      </c>
      <c r="B159" t="s">
        <v>182</v>
      </c>
      <c r="C159" t="s">
        <v>90</v>
      </c>
      <c r="D159" t="str" cm="1">
        <f t="array" ref="D159">_xlfn.XLOOKUP(1,('26 WR'!A:A=E159)*('26 WR'!B:B=F159),'26 WR'!C:C)</f>
        <v>Kenyon Sadiq</v>
      </c>
      <c r="E159" t="s">
        <v>28</v>
      </c>
      <c r="F159">
        <v>23</v>
      </c>
      <c r="G159">
        <f>VLOOKUP(B159,[2]FantasyPros_2025_Overall_ADP_Ra!$B$2:$E$416,4,FALSE)</f>
        <v>181</v>
      </c>
      <c r="H159">
        <v>3</v>
      </c>
      <c r="I159">
        <v>1.5</v>
      </c>
      <c r="J159">
        <v>5.8</v>
      </c>
      <c r="K159">
        <v>11.5</v>
      </c>
      <c r="L159">
        <v>17.7</v>
      </c>
      <c r="M159">
        <v>1.2</v>
      </c>
      <c r="N159">
        <v>6.1</v>
      </c>
      <c r="O159">
        <v>14.4</v>
      </c>
      <c r="P159">
        <v>0</v>
      </c>
      <c r="Q159">
        <v>1.4</v>
      </c>
      <c r="R159">
        <v>7</v>
      </c>
      <c r="S159">
        <v>5.0999999999999996</v>
      </c>
      <c r="T159">
        <v>4.0999999999999996</v>
      </c>
      <c r="U159">
        <v>10.1</v>
      </c>
      <c r="V159">
        <v>88.9</v>
      </c>
      <c r="W159">
        <v>6.8</v>
      </c>
      <c r="X159">
        <v>16</v>
      </c>
      <c r="Y159">
        <v>1</v>
      </c>
      <c r="Z159">
        <v>4</v>
      </c>
      <c r="AA159">
        <v>1</v>
      </c>
      <c r="AB159">
        <v>0</v>
      </c>
      <c r="AC159">
        <v>0</v>
      </c>
      <c r="AD159">
        <v>0</v>
      </c>
      <c r="AE159">
        <v>0.23529411764705882</v>
      </c>
      <c r="AF159">
        <v>7.6923076923076927E-2</v>
      </c>
      <c r="AG159">
        <v>0</v>
      </c>
      <c r="AH159">
        <v>0</v>
      </c>
      <c r="AI159">
        <v>0</v>
      </c>
    </row>
    <row r="160" spans="1:35" x14ac:dyDescent="0.25">
      <c r="A160">
        <v>2025</v>
      </c>
      <c r="B160" t="s">
        <v>189</v>
      </c>
      <c r="C160" t="s">
        <v>57</v>
      </c>
      <c r="D160" t="str" cm="1">
        <f t="array" ref="D160">_xlfn.XLOOKUP(1,('26 WR'!A:A=E160)*('26 WR'!B:B=F160),'26 WR'!C:C)</f>
        <v>AJ Barner</v>
      </c>
      <c r="E160" t="s">
        <v>28</v>
      </c>
      <c r="F160">
        <v>24</v>
      </c>
      <c r="G160">
        <f>VLOOKUP(B160,[2]FantasyPros_2025_Overall_ADP_Ra!$B$2:$E$416,4,FALSE)</f>
        <v>182</v>
      </c>
      <c r="H160">
        <v>0</v>
      </c>
      <c r="I160">
        <v>5.5</v>
      </c>
      <c r="J160">
        <v>0</v>
      </c>
      <c r="K160">
        <v>3.9</v>
      </c>
      <c r="L160">
        <v>12.1</v>
      </c>
      <c r="M160">
        <v>10.1</v>
      </c>
      <c r="N160">
        <v>13.5</v>
      </c>
      <c r="O160">
        <v>8</v>
      </c>
      <c r="P160">
        <v>0</v>
      </c>
      <c r="Q160">
        <v>17.2</v>
      </c>
      <c r="R160">
        <v>4.8</v>
      </c>
      <c r="S160">
        <v>6.1</v>
      </c>
      <c r="T160">
        <v>2.9</v>
      </c>
      <c r="U160">
        <v>4.9000000000000004</v>
      </c>
      <c r="V160">
        <v>122.2</v>
      </c>
      <c r="W160">
        <v>7.6</v>
      </c>
      <c r="X160">
        <v>16</v>
      </c>
      <c r="Y160">
        <v>1</v>
      </c>
      <c r="Z160">
        <v>5</v>
      </c>
      <c r="AA160">
        <v>2</v>
      </c>
      <c r="AB160">
        <v>1</v>
      </c>
      <c r="AC160">
        <v>0</v>
      </c>
      <c r="AD160">
        <v>0</v>
      </c>
      <c r="AE160">
        <v>0.29411764705882354</v>
      </c>
      <c r="AF160">
        <v>0.125</v>
      </c>
      <c r="AG160">
        <v>6.25E-2</v>
      </c>
      <c r="AH160">
        <v>0</v>
      </c>
      <c r="AI160">
        <v>0</v>
      </c>
    </row>
    <row r="161" spans="1:35" x14ac:dyDescent="0.25">
      <c r="A161">
        <v>2025</v>
      </c>
      <c r="B161" t="s">
        <v>200</v>
      </c>
      <c r="C161" t="s">
        <v>21</v>
      </c>
      <c r="D161" t="str" cm="1">
        <f t="array" ref="D161">_xlfn.XLOOKUP(1,('26 WR'!A:A=E161)*('26 WR'!B:B=F161),'26 WR'!C:C)</f>
        <v>Gunnar Helm</v>
      </c>
      <c r="E161" t="s">
        <v>28</v>
      </c>
      <c r="F161">
        <v>25</v>
      </c>
      <c r="G161">
        <f>VLOOKUP(B161,[2]FantasyPros_2025_Overall_ADP_Ra!$B$2:$E$416,4,FALSE)</f>
        <v>192</v>
      </c>
      <c r="H161">
        <v>2.4</v>
      </c>
      <c r="I161">
        <v>4.8</v>
      </c>
      <c r="J161">
        <v>1.6</v>
      </c>
      <c r="K161">
        <v>1.8</v>
      </c>
      <c r="L161">
        <v>3.5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7.5</v>
      </c>
      <c r="T161">
        <v>3.9</v>
      </c>
      <c r="U161">
        <v>20.6</v>
      </c>
      <c r="V161">
        <v>70.7</v>
      </c>
      <c r="W161">
        <v>5.4</v>
      </c>
      <c r="X161">
        <v>16</v>
      </c>
      <c r="Y161">
        <v>1</v>
      </c>
      <c r="Z161">
        <v>2</v>
      </c>
      <c r="AA161">
        <v>1</v>
      </c>
      <c r="AB161">
        <v>1</v>
      </c>
      <c r="AC161">
        <v>0</v>
      </c>
      <c r="AD161">
        <v>0</v>
      </c>
      <c r="AE161">
        <v>0.11764705882352941</v>
      </c>
      <c r="AF161">
        <v>7.6923076923076927E-2</v>
      </c>
      <c r="AG161">
        <v>7.6923076923076927E-2</v>
      </c>
      <c r="AH161">
        <v>0</v>
      </c>
      <c r="AI161">
        <v>0</v>
      </c>
    </row>
    <row r="162" spans="1:35" x14ac:dyDescent="0.25">
      <c r="A162">
        <v>2025</v>
      </c>
      <c r="B162" t="s">
        <v>208</v>
      </c>
      <c r="C162" t="s">
        <v>59</v>
      </c>
      <c r="D162" t="str" cm="1">
        <f t="array" ref="D162">_xlfn.XLOOKUP(1,('26 WR'!A:A=E162)*('26 WR'!B:B=F162),'26 WR'!C:C)</f>
        <v>Cade Otton</v>
      </c>
      <c r="E162" t="s">
        <v>28</v>
      </c>
      <c r="F162">
        <v>26</v>
      </c>
      <c r="G162">
        <f>VLOOKUP(B162,[2]FantasyPros_2025_Overall_ADP_Ra!$B$2:$E$416,4,FALSE)</f>
        <v>199</v>
      </c>
      <c r="H162">
        <v>0</v>
      </c>
      <c r="I162">
        <v>0</v>
      </c>
      <c r="J162">
        <v>0</v>
      </c>
      <c r="K162">
        <v>17.7</v>
      </c>
      <c r="L162">
        <v>18.8</v>
      </c>
      <c r="M162">
        <v>9.1999999999999993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6.7</v>
      </c>
      <c r="U162">
        <v>2.7</v>
      </c>
      <c r="V162">
        <v>88.7</v>
      </c>
      <c r="W162">
        <v>9.9</v>
      </c>
      <c r="X162">
        <v>17</v>
      </c>
      <c r="Y162">
        <v>1</v>
      </c>
      <c r="Z162">
        <v>3</v>
      </c>
      <c r="AA162">
        <v>3</v>
      </c>
      <c r="AB162">
        <v>1</v>
      </c>
      <c r="AC162">
        <v>1</v>
      </c>
      <c r="AD162">
        <v>0</v>
      </c>
      <c r="AE162">
        <v>0.17647058823529413</v>
      </c>
      <c r="AF162">
        <v>0.33333333333333331</v>
      </c>
      <c r="AG162">
        <v>0.1111111111111111</v>
      </c>
      <c r="AH162">
        <v>0.1111111111111111</v>
      </c>
      <c r="AI162">
        <v>0</v>
      </c>
    </row>
    <row r="163" spans="1:35" x14ac:dyDescent="0.25">
      <c r="A163">
        <v>2025</v>
      </c>
      <c r="B163" t="s">
        <v>214</v>
      </c>
      <c r="C163" t="s">
        <v>132</v>
      </c>
      <c r="D163" t="str" cm="1">
        <f t="array" ref="D163">_xlfn.XLOOKUP(1,('26 WR'!A:A=E163)*('26 WR'!B:B=F163),'26 WR'!C:C)</f>
        <v>David Njoku</v>
      </c>
      <c r="E163" t="s">
        <v>28</v>
      </c>
      <c r="F163">
        <v>27</v>
      </c>
      <c r="G163">
        <f>VLOOKUP(B163,[2]FantasyPros_2025_Overall_ADP_Ra!$B$2:$E$416,4,FALSE)</f>
        <v>209</v>
      </c>
      <c r="H163">
        <v>13.6</v>
      </c>
      <c r="I163">
        <v>9.8000000000000007</v>
      </c>
      <c r="J163">
        <v>5.5</v>
      </c>
      <c r="K163">
        <v>4.5</v>
      </c>
      <c r="L163">
        <v>11.3</v>
      </c>
      <c r="M163">
        <v>15.1</v>
      </c>
      <c r="N163">
        <v>7.6</v>
      </c>
      <c r="O163">
        <v>18.399999999999999</v>
      </c>
      <c r="P163">
        <v>0</v>
      </c>
      <c r="Q163">
        <v>8.4</v>
      </c>
      <c r="R163">
        <v>4.5999999999999996</v>
      </c>
      <c r="S163">
        <v>8.4</v>
      </c>
      <c r="T163">
        <v>11.3</v>
      </c>
      <c r="U163">
        <v>25.4</v>
      </c>
      <c r="V163">
        <v>186.4</v>
      </c>
      <c r="W163">
        <v>11.7</v>
      </c>
      <c r="X163">
        <v>18</v>
      </c>
      <c r="Y163">
        <v>1</v>
      </c>
      <c r="Z163">
        <v>9</v>
      </c>
      <c r="AA163">
        <v>4</v>
      </c>
      <c r="AB163">
        <v>1</v>
      </c>
      <c r="AC163">
        <v>1</v>
      </c>
      <c r="AD163">
        <v>0</v>
      </c>
      <c r="AE163">
        <v>0.52941176470588236</v>
      </c>
      <c r="AF163">
        <v>0.25</v>
      </c>
      <c r="AG163">
        <v>6.25E-2</v>
      </c>
      <c r="AH163">
        <v>6.25E-2</v>
      </c>
      <c r="AI163">
        <v>0</v>
      </c>
    </row>
    <row r="164" spans="1:35" x14ac:dyDescent="0.25">
      <c r="A164">
        <v>2025</v>
      </c>
      <c r="B164" t="s">
        <v>216</v>
      </c>
      <c r="C164" t="s">
        <v>108</v>
      </c>
      <c r="D164" t="str" cm="1">
        <f t="array" ref="D164">_xlfn.XLOOKUP(1,('26 WR'!A:A=E164)*('26 WR'!B:B=F164),'26 WR'!C:C)</f>
        <v>Pat Freiermuth</v>
      </c>
      <c r="E164" t="s">
        <v>28</v>
      </c>
      <c r="F164">
        <v>28</v>
      </c>
      <c r="G164">
        <f>VLOOKUP(B164,[2]FantasyPros_2025_Overall_ADP_Ra!$B$2:$E$416,4,FALSE)</f>
        <v>210</v>
      </c>
      <c r="H164">
        <v>5.8</v>
      </c>
      <c r="I164">
        <v>6.1</v>
      </c>
      <c r="J164">
        <v>1.6</v>
      </c>
      <c r="K164">
        <v>0</v>
      </c>
      <c r="L164">
        <v>0</v>
      </c>
      <c r="M164">
        <v>2.1</v>
      </c>
      <c r="N164">
        <v>28.1</v>
      </c>
      <c r="O164">
        <v>4.3</v>
      </c>
      <c r="P164">
        <v>11.7</v>
      </c>
      <c r="Q164">
        <v>6.3</v>
      </c>
      <c r="R164">
        <v>2.9</v>
      </c>
      <c r="S164">
        <v>10.9</v>
      </c>
      <c r="T164">
        <v>0</v>
      </c>
      <c r="U164">
        <v>2.9</v>
      </c>
      <c r="V164">
        <v>113.6</v>
      </c>
      <c r="W164">
        <v>6.7</v>
      </c>
      <c r="X164">
        <v>18</v>
      </c>
      <c r="Y164">
        <v>1</v>
      </c>
      <c r="Z164">
        <v>3</v>
      </c>
      <c r="AA164">
        <v>1</v>
      </c>
      <c r="AB164">
        <v>1</v>
      </c>
      <c r="AC164">
        <v>1</v>
      </c>
      <c r="AD164">
        <v>0</v>
      </c>
      <c r="AE164">
        <v>0.17647058823529413</v>
      </c>
      <c r="AF164">
        <v>5.8823529411764705E-2</v>
      </c>
      <c r="AG164">
        <v>5.8823529411764705E-2</v>
      </c>
      <c r="AH164">
        <v>5.8823529411764705E-2</v>
      </c>
      <c r="AI164">
        <v>0</v>
      </c>
    </row>
    <row r="165" spans="1:35" x14ac:dyDescent="0.25">
      <c r="A165">
        <v>2025</v>
      </c>
      <c r="B165" t="s">
        <v>220</v>
      </c>
      <c r="C165" t="s">
        <v>43</v>
      </c>
      <c r="D165" t="str" cm="1">
        <f t="array" ref="D165">_xlfn.XLOOKUP(1,('26 WR'!A:A=E165)*('26 WR'!B:B=F165),'26 WR'!C:C)</f>
        <v>Terrance Ferguson</v>
      </c>
      <c r="E165" t="s">
        <v>28</v>
      </c>
      <c r="F165">
        <v>29</v>
      </c>
      <c r="G165">
        <f>VLOOKUP(B165,[2]FantasyPros_2025_Overall_ADP_Ra!$B$2:$E$416,4,FALSE)</f>
        <v>212</v>
      </c>
      <c r="H165">
        <v>1.5</v>
      </c>
      <c r="I165">
        <v>7.4</v>
      </c>
      <c r="J165">
        <v>2</v>
      </c>
      <c r="K165">
        <v>10.7</v>
      </c>
      <c r="L165">
        <v>21.3</v>
      </c>
      <c r="M165">
        <v>4.7</v>
      </c>
      <c r="N165">
        <v>15.6</v>
      </c>
      <c r="O165">
        <v>5</v>
      </c>
      <c r="P165">
        <v>11.7</v>
      </c>
      <c r="Q165">
        <v>14.5</v>
      </c>
      <c r="R165">
        <v>6.6</v>
      </c>
      <c r="S165">
        <v>10.7</v>
      </c>
      <c r="T165">
        <v>5.9</v>
      </c>
      <c r="U165">
        <v>0</v>
      </c>
      <c r="V165">
        <v>127.8</v>
      </c>
      <c r="W165">
        <v>8.5</v>
      </c>
      <c r="X165">
        <v>18</v>
      </c>
      <c r="Y165">
        <v>1</v>
      </c>
      <c r="Z165">
        <v>7</v>
      </c>
      <c r="AA165">
        <v>2</v>
      </c>
      <c r="AB165">
        <v>1</v>
      </c>
      <c r="AC165">
        <v>0</v>
      </c>
      <c r="AD165">
        <v>0</v>
      </c>
      <c r="AE165">
        <v>0.41176470588235292</v>
      </c>
      <c r="AF165">
        <v>0.13333333333333333</v>
      </c>
      <c r="AG165">
        <v>6.6666666666666666E-2</v>
      </c>
      <c r="AH165">
        <v>0</v>
      </c>
      <c r="AI165">
        <v>0</v>
      </c>
    </row>
    <row r="166" spans="1:35" x14ac:dyDescent="0.25">
      <c r="A166">
        <v>2025</v>
      </c>
      <c r="B166" t="s">
        <v>224</v>
      </c>
      <c r="C166" t="s">
        <v>39</v>
      </c>
      <c r="D166" t="str" cm="1">
        <f t="array" ref="D166">_xlfn.XLOOKUP(1,('26 WR'!A:A=E166)*('26 WR'!B:B=F166),'26 WR'!C:C)</f>
        <v>Colby Parkinson</v>
      </c>
      <c r="E166" t="s">
        <v>28</v>
      </c>
      <c r="F166">
        <v>30</v>
      </c>
      <c r="G166">
        <f>VLOOKUP(B166,[2]FantasyPros_2025_Overall_ADP_Ra!$B$2:$E$416,4,FALSE)</f>
        <v>219</v>
      </c>
      <c r="H166">
        <v>5.8</v>
      </c>
      <c r="I166">
        <v>5.9</v>
      </c>
      <c r="J166">
        <v>8.9</v>
      </c>
      <c r="K166">
        <v>8</v>
      </c>
      <c r="L166">
        <v>11</v>
      </c>
      <c r="M166">
        <v>0</v>
      </c>
      <c r="N166">
        <v>18.8</v>
      </c>
      <c r="O166">
        <v>4.4000000000000004</v>
      </c>
      <c r="P166">
        <v>13.7</v>
      </c>
      <c r="Q166">
        <v>18.3</v>
      </c>
      <c r="R166">
        <v>11.1</v>
      </c>
      <c r="S166">
        <v>1.8</v>
      </c>
      <c r="T166">
        <v>12.5</v>
      </c>
      <c r="U166">
        <v>5.2</v>
      </c>
      <c r="V166">
        <v>177.7</v>
      </c>
      <c r="W166">
        <v>10.5</v>
      </c>
      <c r="X166">
        <v>19</v>
      </c>
      <c r="Y166">
        <v>1</v>
      </c>
      <c r="Z166">
        <v>9</v>
      </c>
      <c r="AA166">
        <v>3</v>
      </c>
      <c r="AB166">
        <v>1</v>
      </c>
      <c r="AC166">
        <v>0</v>
      </c>
      <c r="AD166">
        <v>0</v>
      </c>
      <c r="AE166">
        <v>0.52941176470588236</v>
      </c>
      <c r="AF166">
        <v>0.17647058823529413</v>
      </c>
      <c r="AG166">
        <v>5.8823529411764705E-2</v>
      </c>
      <c r="AH166">
        <v>0</v>
      </c>
      <c r="AI166">
        <v>0</v>
      </c>
    </row>
    <row r="167" spans="1:35" x14ac:dyDescent="0.25">
      <c r="A167">
        <v>2025</v>
      </c>
      <c r="B167" t="s">
        <v>230</v>
      </c>
      <c r="C167" t="s">
        <v>96</v>
      </c>
      <c r="D167" t="str" cm="1">
        <f t="array" ref="D167">_xlfn.XLOOKUP(1,('26 WR'!A:A=E167)*('26 WR'!B:B=F167),'26 WR'!C:C)</f>
        <v>Evan Engram</v>
      </c>
      <c r="E167" t="s">
        <v>28</v>
      </c>
      <c r="F167">
        <v>31</v>
      </c>
      <c r="G167">
        <f>VLOOKUP(B167,[2]FantasyPros_2025_Overall_ADP_Ra!$B$2:$E$416,4,FALSE)</f>
        <v>226</v>
      </c>
      <c r="H167">
        <v>15.6</v>
      </c>
      <c r="I167">
        <v>15.9</v>
      </c>
      <c r="J167">
        <v>11.1</v>
      </c>
      <c r="K167">
        <v>5.8</v>
      </c>
      <c r="L167">
        <v>3.7</v>
      </c>
      <c r="M167">
        <v>1.5</v>
      </c>
      <c r="N167">
        <v>12.9</v>
      </c>
      <c r="O167">
        <v>10.3</v>
      </c>
      <c r="P167">
        <v>12.1</v>
      </c>
      <c r="Q167">
        <v>19.2</v>
      </c>
      <c r="R167">
        <v>0</v>
      </c>
      <c r="S167">
        <v>10.6</v>
      </c>
      <c r="T167">
        <v>8.9</v>
      </c>
      <c r="U167">
        <v>7.8</v>
      </c>
      <c r="V167">
        <v>179.9</v>
      </c>
      <c r="W167">
        <v>10.6</v>
      </c>
      <c r="X167">
        <v>19</v>
      </c>
      <c r="Y167">
        <v>1</v>
      </c>
      <c r="Z167">
        <v>10</v>
      </c>
      <c r="AA167">
        <v>4</v>
      </c>
      <c r="AB167">
        <v>0</v>
      </c>
      <c r="AC167">
        <v>0</v>
      </c>
      <c r="AD167">
        <v>0</v>
      </c>
      <c r="AE167">
        <v>0.58823529411764708</v>
      </c>
      <c r="AF167">
        <v>0.23529411764705882</v>
      </c>
      <c r="AG167">
        <v>0</v>
      </c>
      <c r="AH167">
        <v>0</v>
      </c>
      <c r="AI167">
        <v>0</v>
      </c>
    </row>
    <row r="168" spans="1:35" x14ac:dyDescent="0.25">
      <c r="A168">
        <v>2025</v>
      </c>
      <c r="B168" t="s">
        <v>236</v>
      </c>
      <c r="C168" t="s">
        <v>49</v>
      </c>
      <c r="D168" t="str" cm="1">
        <f t="array" ref="D168">_xlfn.XLOOKUP(1,('26 WR'!A:A=E168)*('26 WR'!B:B=F168),'26 WR'!C:C)</f>
        <v>Eli Stowers</v>
      </c>
      <c r="E168" t="s">
        <v>28</v>
      </c>
      <c r="F168">
        <v>32</v>
      </c>
      <c r="G168">
        <f>VLOOKUP(B168,[2]FantasyPros_2025_Overall_ADP_Ra!$B$2:$E$416,4,FALSE)</f>
        <v>232</v>
      </c>
      <c r="H168">
        <v>0</v>
      </c>
      <c r="I168">
        <v>7.7</v>
      </c>
      <c r="J168">
        <v>0</v>
      </c>
      <c r="K168">
        <v>4.5</v>
      </c>
      <c r="L168">
        <v>0</v>
      </c>
      <c r="M168">
        <v>14</v>
      </c>
      <c r="N168">
        <v>4.9000000000000004</v>
      </c>
      <c r="O168">
        <v>0</v>
      </c>
      <c r="P168">
        <v>10.3</v>
      </c>
      <c r="Q168">
        <v>6.3</v>
      </c>
      <c r="R168">
        <v>3.3</v>
      </c>
      <c r="S168">
        <v>0</v>
      </c>
      <c r="T168">
        <v>0</v>
      </c>
      <c r="U168">
        <v>0</v>
      </c>
      <c r="V168">
        <v>71.099999999999994</v>
      </c>
      <c r="W168">
        <v>7.1</v>
      </c>
      <c r="X168">
        <v>20</v>
      </c>
      <c r="Y168">
        <v>1</v>
      </c>
      <c r="Z168">
        <v>3</v>
      </c>
      <c r="AA168">
        <v>1</v>
      </c>
      <c r="AB168">
        <v>1</v>
      </c>
      <c r="AC168">
        <v>0</v>
      </c>
      <c r="AD168">
        <v>0</v>
      </c>
      <c r="AE168">
        <v>0.17647058823529413</v>
      </c>
      <c r="AF168">
        <v>0.1</v>
      </c>
      <c r="AG168">
        <v>0.1</v>
      </c>
      <c r="AH168">
        <v>0</v>
      </c>
      <c r="AI168">
        <v>0</v>
      </c>
    </row>
    <row r="169" spans="1:35" x14ac:dyDescent="0.25">
      <c r="A169">
        <v>2025</v>
      </c>
      <c r="B169" t="s">
        <v>242</v>
      </c>
      <c r="C169" t="s">
        <v>49</v>
      </c>
      <c r="D169" t="str" cm="1">
        <f t="array" ref="D169">_xlfn.XLOOKUP(1,('26 WR'!A:A=E169)*('26 WR'!B:B=F169),'26 WR'!C:C)</f>
        <v>Mason Taylor</v>
      </c>
      <c r="E169" t="s">
        <v>28</v>
      </c>
      <c r="F169">
        <v>33</v>
      </c>
      <c r="G169">
        <f>VLOOKUP(B169,[2]FantasyPros_2025_Overall_ADP_Ra!$B$2:$E$416,4,FALSE)</f>
        <v>350</v>
      </c>
      <c r="H169">
        <v>0.6</v>
      </c>
      <c r="I169">
        <v>0</v>
      </c>
      <c r="J169">
        <v>0</v>
      </c>
      <c r="K169">
        <v>3.7</v>
      </c>
      <c r="L169">
        <v>0</v>
      </c>
      <c r="M169">
        <v>0</v>
      </c>
      <c r="N169">
        <v>7.7</v>
      </c>
      <c r="O169">
        <v>0</v>
      </c>
      <c r="P169">
        <v>3</v>
      </c>
      <c r="Q169">
        <v>14.1</v>
      </c>
      <c r="R169">
        <v>9.4</v>
      </c>
      <c r="S169">
        <v>14.1</v>
      </c>
      <c r="T169">
        <v>6.7</v>
      </c>
      <c r="U169">
        <v>12.2</v>
      </c>
      <c r="V169">
        <v>129.80000000000001</v>
      </c>
      <c r="W169">
        <v>8.6999999999999993</v>
      </c>
      <c r="X169">
        <v>20</v>
      </c>
      <c r="Y169">
        <v>1</v>
      </c>
      <c r="Z169">
        <v>6</v>
      </c>
      <c r="AA169">
        <v>2</v>
      </c>
      <c r="AB169">
        <v>1</v>
      </c>
      <c r="AC169">
        <v>0</v>
      </c>
      <c r="AD169">
        <v>0</v>
      </c>
      <c r="AE169">
        <v>0.35294117647058826</v>
      </c>
      <c r="AF169">
        <v>0.13333333333333333</v>
      </c>
      <c r="AG169">
        <v>6.6666666666666666E-2</v>
      </c>
      <c r="AH169">
        <v>0</v>
      </c>
      <c r="AI169">
        <v>0</v>
      </c>
    </row>
    <row r="170" spans="1:35" x14ac:dyDescent="0.25">
      <c r="A170">
        <v>2025</v>
      </c>
      <c r="B170" t="s">
        <v>250</v>
      </c>
      <c r="C170" t="s">
        <v>68</v>
      </c>
      <c r="D170" t="str" cm="1">
        <f t="array" ref="D170">_xlfn.XLOOKUP(1,('26 WR'!A:A=E170)*('26 WR'!B:B=F170),'26 WR'!C:C)</f>
        <v>Theo Johnson</v>
      </c>
      <c r="E170" t="s">
        <v>28</v>
      </c>
      <c r="F170">
        <v>34</v>
      </c>
      <c r="G170">
        <f>VLOOKUP(B170,[2]FantasyPros_2025_Overall_ADP_Ra!$B$2:$E$416,4,FALSE)</f>
        <v>350</v>
      </c>
      <c r="H170">
        <v>4</v>
      </c>
      <c r="I170">
        <v>3.9</v>
      </c>
      <c r="J170">
        <v>0</v>
      </c>
      <c r="K170">
        <v>0</v>
      </c>
      <c r="L170">
        <v>3.5</v>
      </c>
      <c r="M170">
        <v>8.9</v>
      </c>
      <c r="N170">
        <v>0</v>
      </c>
      <c r="O170">
        <v>2.5</v>
      </c>
      <c r="P170">
        <v>4</v>
      </c>
      <c r="Q170">
        <v>6.7</v>
      </c>
      <c r="R170">
        <v>3.3</v>
      </c>
      <c r="S170">
        <v>4.7</v>
      </c>
      <c r="T170">
        <v>5.8</v>
      </c>
      <c r="U170">
        <v>17.3</v>
      </c>
      <c r="V170">
        <v>103.7</v>
      </c>
      <c r="W170">
        <v>6.1</v>
      </c>
      <c r="X170">
        <v>20</v>
      </c>
      <c r="Y170">
        <v>1</v>
      </c>
      <c r="Z170">
        <v>3</v>
      </c>
      <c r="AA170">
        <v>2</v>
      </c>
      <c r="AB170">
        <v>0</v>
      </c>
      <c r="AC170">
        <v>0</v>
      </c>
      <c r="AD170">
        <v>0</v>
      </c>
      <c r="AE170">
        <v>0.17647058823529413</v>
      </c>
      <c r="AF170">
        <v>0.11764705882352941</v>
      </c>
      <c r="AG170">
        <v>0</v>
      </c>
      <c r="AH170">
        <v>0</v>
      </c>
      <c r="AI170">
        <v>0</v>
      </c>
    </row>
    <row r="171" spans="1:35" x14ac:dyDescent="0.25">
      <c r="A171">
        <v>2025</v>
      </c>
      <c r="B171" t="s">
        <v>252</v>
      </c>
      <c r="C171" t="s">
        <v>26</v>
      </c>
      <c r="D171" t="str" cm="1">
        <f t="array" ref="D171">_xlfn.XLOOKUP(1,('26 WR'!A:A=E171)*('26 WR'!B:B=F171),'26 WR'!C:C)</f>
        <v>Oscar Delp</v>
      </c>
      <c r="E171" t="s">
        <v>28</v>
      </c>
      <c r="F171">
        <v>35</v>
      </c>
      <c r="G171">
        <v>351</v>
      </c>
      <c r="H171">
        <v>10.5</v>
      </c>
      <c r="I171">
        <v>7.1</v>
      </c>
      <c r="J171">
        <v>4.0999999999999996</v>
      </c>
      <c r="K171">
        <v>14.8</v>
      </c>
      <c r="L171">
        <v>17.100000000000001</v>
      </c>
      <c r="M171">
        <v>11.8</v>
      </c>
      <c r="N171">
        <v>0</v>
      </c>
      <c r="O171">
        <v>7.2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93.3</v>
      </c>
      <c r="W171">
        <v>5.8</v>
      </c>
      <c r="X171">
        <v>20</v>
      </c>
      <c r="Y171">
        <v>1</v>
      </c>
      <c r="Z171">
        <v>5</v>
      </c>
      <c r="AA171">
        <v>2</v>
      </c>
      <c r="AB171">
        <v>0</v>
      </c>
      <c r="AC171">
        <v>0</v>
      </c>
      <c r="AD171">
        <v>0</v>
      </c>
      <c r="AE171">
        <v>0.29411764705882354</v>
      </c>
      <c r="AF171">
        <v>0.125</v>
      </c>
      <c r="AG171">
        <v>0</v>
      </c>
      <c r="AH171">
        <v>0</v>
      </c>
      <c r="AI171">
        <v>0</v>
      </c>
    </row>
    <row r="172" spans="1:35" x14ac:dyDescent="0.25">
      <c r="A172">
        <v>2025</v>
      </c>
      <c r="B172" t="s">
        <v>324</v>
      </c>
      <c r="C172" t="s">
        <v>92</v>
      </c>
      <c r="D172" t="str" cm="1">
        <f t="array" ref="D172">_xlfn.XLOOKUP(1,('26 WR'!A:A=E172)*('26 WR'!B:B=F172),'26 WR'!C:C)</f>
        <v>Mike Gesicki</v>
      </c>
      <c r="E172" t="s">
        <v>28</v>
      </c>
      <c r="F172">
        <v>36</v>
      </c>
      <c r="G172">
        <v>352</v>
      </c>
      <c r="H172">
        <v>1.2</v>
      </c>
      <c r="I172">
        <v>5</v>
      </c>
      <c r="J172">
        <v>3.6</v>
      </c>
      <c r="K172">
        <v>15.2</v>
      </c>
      <c r="L172">
        <v>1.7</v>
      </c>
      <c r="M172">
        <v>7.9</v>
      </c>
      <c r="N172">
        <v>1</v>
      </c>
      <c r="O172">
        <v>1.4</v>
      </c>
      <c r="P172">
        <v>0</v>
      </c>
      <c r="Q172">
        <v>0</v>
      </c>
      <c r="R172">
        <v>6.4</v>
      </c>
      <c r="S172">
        <v>0</v>
      </c>
      <c r="T172">
        <v>1.2</v>
      </c>
      <c r="U172">
        <v>0</v>
      </c>
      <c r="V172">
        <v>63.9</v>
      </c>
      <c r="W172">
        <v>3.8</v>
      </c>
      <c r="X172">
        <v>20</v>
      </c>
      <c r="Y172">
        <v>1</v>
      </c>
      <c r="Z172">
        <v>2</v>
      </c>
      <c r="AA172">
        <v>1</v>
      </c>
      <c r="AB172">
        <v>0</v>
      </c>
      <c r="AC172">
        <v>0</v>
      </c>
      <c r="AD172">
        <v>0</v>
      </c>
      <c r="AE172">
        <v>0.11764705882352941</v>
      </c>
      <c r="AF172">
        <v>5.8823529411764705E-2</v>
      </c>
      <c r="AG172">
        <v>0</v>
      </c>
      <c r="AH172">
        <v>0</v>
      </c>
      <c r="AI172">
        <v>0</v>
      </c>
    </row>
    <row r="173" spans="1:35" x14ac:dyDescent="0.25">
      <c r="A173">
        <v>2025</v>
      </c>
      <c r="B173" t="s">
        <v>326</v>
      </c>
      <c r="C173" t="s">
        <v>49</v>
      </c>
      <c r="D173" t="str" cm="1">
        <f t="array" ref="D173">_xlfn.XLOOKUP(1,('26 WR'!A:A=E173)*('26 WR'!B:B=F173),'26 WR'!C:C)</f>
        <v>Greg Dulcich</v>
      </c>
      <c r="E173" t="s">
        <v>28</v>
      </c>
      <c r="F173">
        <v>37</v>
      </c>
      <c r="G173">
        <v>360</v>
      </c>
      <c r="H173">
        <v>8.3000000000000007</v>
      </c>
      <c r="I173">
        <v>7.8</v>
      </c>
      <c r="J173">
        <v>1.3</v>
      </c>
      <c r="K173">
        <v>1</v>
      </c>
      <c r="L173">
        <v>4.4000000000000004</v>
      </c>
      <c r="M173">
        <v>1.7</v>
      </c>
      <c r="N173">
        <v>1.4</v>
      </c>
      <c r="O173">
        <v>0</v>
      </c>
      <c r="P173">
        <v>6.7</v>
      </c>
      <c r="Q173">
        <v>8.8000000000000007</v>
      </c>
      <c r="R173">
        <v>0</v>
      </c>
      <c r="S173">
        <v>5.9</v>
      </c>
      <c r="T173">
        <v>1.4</v>
      </c>
      <c r="U173">
        <v>4.0999999999999996</v>
      </c>
      <c r="V173">
        <v>62.8</v>
      </c>
      <c r="W173">
        <v>3.7</v>
      </c>
      <c r="X173">
        <v>20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2025</v>
      </c>
      <c r="B174" t="s">
        <v>328</v>
      </c>
      <c r="C174" t="s">
        <v>110</v>
      </c>
      <c r="D174" t="str" cm="1">
        <f t="array" ref="D174">_xlfn.XLOOKUP(1,('26 WR'!A:A=E174)*('26 WR'!B:B=F174),'26 WR'!C:C)</f>
        <v>Jake Tonges</v>
      </c>
      <c r="E174" t="s">
        <v>28</v>
      </c>
      <c r="F174">
        <v>38</v>
      </c>
      <c r="G174">
        <f>VLOOKUP(B174,[2]FantasyPros_2025_Overall_ADP_Ra!$B$2:$E$416,4,FALSE)</f>
        <v>365</v>
      </c>
      <c r="H174">
        <v>4.0999999999999996</v>
      </c>
      <c r="I174">
        <v>4.9000000000000004</v>
      </c>
      <c r="J174">
        <v>8</v>
      </c>
      <c r="K174">
        <v>7.6</v>
      </c>
      <c r="L174">
        <v>0</v>
      </c>
      <c r="M174">
        <v>1</v>
      </c>
      <c r="N174">
        <v>2.6</v>
      </c>
      <c r="O174">
        <v>0</v>
      </c>
      <c r="P174">
        <v>2</v>
      </c>
      <c r="Q174">
        <v>1.5</v>
      </c>
      <c r="R174">
        <v>9.5</v>
      </c>
      <c r="S174">
        <v>1.3</v>
      </c>
      <c r="T174">
        <v>12.6</v>
      </c>
      <c r="U174">
        <v>6.2</v>
      </c>
      <c r="V174">
        <v>78.7</v>
      </c>
      <c r="W174">
        <v>4.9000000000000004</v>
      </c>
      <c r="X174">
        <v>20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5.8823529411764705E-2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>
        <v>2025</v>
      </c>
      <c r="B175" t="s">
        <v>331</v>
      </c>
      <c r="C175" t="s">
        <v>108</v>
      </c>
      <c r="D175" t="str" cm="1">
        <f t="array" ref="D175">_xlfn.XLOOKUP(1,('26 WR'!A:A=E175)*('26 WR'!B:B=F175),'26 WR'!C:C)</f>
        <v>Darnell Washington</v>
      </c>
      <c r="E175" t="s">
        <v>28</v>
      </c>
      <c r="F175">
        <v>39</v>
      </c>
      <c r="G175">
        <f>VLOOKUP(B175,[2]FantasyPros_2025_Overall_ADP_Ra!$B$2:$E$416,4,FALSE)</f>
        <v>373</v>
      </c>
      <c r="H175">
        <v>0</v>
      </c>
      <c r="I175">
        <v>2</v>
      </c>
      <c r="J175">
        <v>0</v>
      </c>
      <c r="K175">
        <v>5</v>
      </c>
      <c r="L175">
        <v>0</v>
      </c>
      <c r="M175">
        <v>9.1999999999999993</v>
      </c>
      <c r="N175">
        <v>9.1999999999999993</v>
      </c>
      <c r="O175">
        <v>0</v>
      </c>
      <c r="P175">
        <v>8.3000000000000007</v>
      </c>
      <c r="Q175">
        <v>2.5</v>
      </c>
      <c r="R175">
        <v>10.7</v>
      </c>
      <c r="S175">
        <v>4.2</v>
      </c>
      <c r="T175">
        <v>6.5</v>
      </c>
      <c r="U175">
        <v>2.2000000000000002</v>
      </c>
      <c r="V175">
        <v>73.400000000000006</v>
      </c>
      <c r="W175">
        <v>4.5999999999999996</v>
      </c>
      <c r="X175">
        <v>20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5.8823529411764705E-2</v>
      </c>
      <c r="AF175">
        <v>0</v>
      </c>
      <c r="AG175">
        <v>0</v>
      </c>
      <c r="AH175">
        <v>0</v>
      </c>
      <c r="AI175">
        <v>0</v>
      </c>
    </row>
    <row r="176" spans="1:35" x14ac:dyDescent="0.25">
      <c r="A176">
        <v>2025</v>
      </c>
      <c r="B176" t="s">
        <v>336</v>
      </c>
      <c r="C176" t="s">
        <v>21</v>
      </c>
      <c r="D176" t="str" cm="1">
        <f t="array" ref="D176">_xlfn.XLOOKUP(1,('26 WR'!A:A=E176)*('26 WR'!B:B=F176),'26 WR'!C:C)</f>
        <v>Max Klare</v>
      </c>
      <c r="E176" t="s">
        <v>28</v>
      </c>
      <c r="F176">
        <v>40</v>
      </c>
      <c r="G176">
        <f>VLOOKUP(B176,[2]FantasyPros_2025_Overall_ADP_Ra!$B$2:$E$416,4,FALSE)</f>
        <v>387</v>
      </c>
      <c r="H176">
        <v>12.6</v>
      </c>
      <c r="I176">
        <v>5.8</v>
      </c>
      <c r="J176">
        <v>5.6</v>
      </c>
      <c r="K176">
        <v>0</v>
      </c>
      <c r="L176">
        <v>0</v>
      </c>
      <c r="M176">
        <v>6.7</v>
      </c>
      <c r="N176">
        <v>14.4</v>
      </c>
      <c r="O176">
        <v>7.1</v>
      </c>
      <c r="P176">
        <v>10.8</v>
      </c>
      <c r="Q176">
        <v>0</v>
      </c>
      <c r="R176">
        <v>6.6</v>
      </c>
      <c r="S176">
        <v>1.9</v>
      </c>
      <c r="T176">
        <v>1.3</v>
      </c>
      <c r="U176">
        <v>2.5</v>
      </c>
      <c r="V176">
        <v>74.8</v>
      </c>
      <c r="W176">
        <v>5</v>
      </c>
      <c r="X176">
        <v>20</v>
      </c>
      <c r="Y176">
        <v>1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0.17647058823529413</v>
      </c>
      <c r="AF176">
        <v>0</v>
      </c>
      <c r="AG176">
        <v>0</v>
      </c>
      <c r="AH176">
        <v>0</v>
      </c>
      <c r="AI176">
        <v>0</v>
      </c>
    </row>
    <row r="177" spans="1:35" x14ac:dyDescent="0.25">
      <c r="A177">
        <v>2025</v>
      </c>
      <c r="B177" t="s">
        <v>337</v>
      </c>
      <c r="C177" t="s">
        <v>114</v>
      </c>
      <c r="D177" t="str" cm="1">
        <f t="array" ref="D177">_xlfn.XLOOKUP(1,('26 WR'!A:A=E177)*('26 WR'!B:B=F177),'26 WR'!C:C)</f>
        <v>Tyler Higbee</v>
      </c>
      <c r="E177" t="s">
        <v>28</v>
      </c>
      <c r="F177">
        <v>41</v>
      </c>
      <c r="G177">
        <f>VLOOKUP(B177,[2]FantasyPros_2025_Overall_ADP_Ra!$B$2:$E$416,4,FALSE)</f>
        <v>391</v>
      </c>
      <c r="H177">
        <v>2.6</v>
      </c>
      <c r="I177">
        <v>2.9</v>
      </c>
      <c r="J177">
        <v>5.7</v>
      </c>
      <c r="K177">
        <v>2.2000000000000002</v>
      </c>
      <c r="L177">
        <v>7.4</v>
      </c>
      <c r="M177">
        <v>3.5</v>
      </c>
      <c r="N177">
        <v>7.6</v>
      </c>
      <c r="O177">
        <v>10.3</v>
      </c>
      <c r="P177">
        <v>2.5</v>
      </c>
      <c r="Q177">
        <v>0</v>
      </c>
      <c r="R177">
        <v>6.9</v>
      </c>
      <c r="S177">
        <v>11.1</v>
      </c>
      <c r="T177">
        <v>8.3000000000000007</v>
      </c>
      <c r="U177">
        <v>1.8</v>
      </c>
      <c r="V177">
        <v>91.7</v>
      </c>
      <c r="W177">
        <v>5.7</v>
      </c>
      <c r="X177">
        <v>20</v>
      </c>
      <c r="Y177">
        <v>1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0.17647058823529413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>
        <v>2025</v>
      </c>
      <c r="B178" t="s">
        <v>343</v>
      </c>
      <c r="C178" t="s">
        <v>59</v>
      </c>
      <c r="D178" t="str" cm="1">
        <f t="array" ref="D178">_xlfn.XLOOKUP(1,('26 WR'!A:A=E178)*('26 WR'!B:B=F178),'26 WR'!C:C)</f>
        <v>Noah Gray</v>
      </c>
      <c r="E178" t="s">
        <v>28</v>
      </c>
      <c r="F178">
        <v>42</v>
      </c>
      <c r="G178">
        <f>VLOOKUP(B178,[2]FantasyPros_2025_Overall_ADP_Ra!$B$2:$E$416,4,FALSE)</f>
        <v>407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9.9</v>
      </c>
      <c r="Q178">
        <v>3.2</v>
      </c>
      <c r="R178">
        <v>3.8</v>
      </c>
      <c r="S178">
        <v>0</v>
      </c>
      <c r="T178">
        <v>4.4000000000000004</v>
      </c>
      <c r="U178">
        <v>7.1</v>
      </c>
      <c r="V178">
        <v>62.8</v>
      </c>
      <c r="W178">
        <v>6.3</v>
      </c>
      <c r="X178">
        <v>20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5.8823529411764705E-2</v>
      </c>
      <c r="AF178">
        <v>0.1</v>
      </c>
      <c r="AG178">
        <v>0</v>
      </c>
      <c r="AH178">
        <v>0</v>
      </c>
      <c r="AI178">
        <v>0</v>
      </c>
    </row>
    <row r="179" spans="1:35" x14ac:dyDescent="0.25">
      <c r="A179">
        <v>2025</v>
      </c>
      <c r="B179" t="s">
        <v>344</v>
      </c>
      <c r="C179" t="s">
        <v>65</v>
      </c>
      <c r="D179" t="str" cm="1">
        <f t="array" ref="D179">_xlfn.XLOOKUP(1,('26 WR'!A:A=E179)*('26 WR'!B:B=F179),'26 WR'!C:C)</f>
        <v>Elijah Arroyo</v>
      </c>
      <c r="E179" t="s">
        <v>28</v>
      </c>
      <c r="F179">
        <v>43</v>
      </c>
      <c r="G179">
        <f>VLOOKUP(B179,[2]FantasyPros_2025_Overall_ADP_Ra!$B$2:$E$416,4,FALSE)</f>
        <v>408</v>
      </c>
      <c r="H179">
        <v>0</v>
      </c>
      <c r="I179">
        <v>0</v>
      </c>
      <c r="J179">
        <v>9.6</v>
      </c>
      <c r="K179">
        <v>3.6</v>
      </c>
      <c r="L179">
        <v>2.4</v>
      </c>
      <c r="M179">
        <v>11.8</v>
      </c>
      <c r="N179">
        <v>29.4</v>
      </c>
      <c r="O179">
        <v>18.7</v>
      </c>
      <c r="P179">
        <v>11.8</v>
      </c>
      <c r="Q179">
        <v>4.3</v>
      </c>
      <c r="R179">
        <v>6.1</v>
      </c>
      <c r="S179">
        <v>0</v>
      </c>
      <c r="T179">
        <v>3.7</v>
      </c>
      <c r="U179">
        <v>1.7</v>
      </c>
      <c r="V179">
        <v>131.4</v>
      </c>
      <c r="W179">
        <v>8.8000000000000007</v>
      </c>
      <c r="X179">
        <v>20</v>
      </c>
      <c r="Y179">
        <v>1</v>
      </c>
      <c r="Z179">
        <v>6</v>
      </c>
      <c r="AA179">
        <v>2</v>
      </c>
      <c r="AB179">
        <v>1</v>
      </c>
      <c r="AC179">
        <v>1</v>
      </c>
      <c r="AD179">
        <v>0</v>
      </c>
      <c r="AE179">
        <v>0.35294117647058826</v>
      </c>
      <c r="AF179">
        <v>0.13333333333333333</v>
      </c>
      <c r="AG179">
        <v>6.6666666666666666E-2</v>
      </c>
      <c r="AH179">
        <v>6.6666666666666666E-2</v>
      </c>
      <c r="AI179">
        <v>0</v>
      </c>
    </row>
    <row r="180" spans="1:35" x14ac:dyDescent="0.25">
      <c r="A180">
        <v>2025</v>
      </c>
      <c r="B180" t="s">
        <v>345</v>
      </c>
      <c r="C180" t="s">
        <v>29</v>
      </c>
      <c r="D180" t="str" cm="1">
        <f t="array" ref="D180">_xlfn.XLOOKUP(1,('26 WR'!A:A=E180)*('26 WR'!B:B=F180),'26 WR'!C:C)</f>
        <v>Michael Mayer</v>
      </c>
      <c r="E180" t="s">
        <v>28</v>
      </c>
      <c r="F180">
        <v>44</v>
      </c>
      <c r="G180">
        <f>VLOOKUP(B180,[2]FantasyPros_2025_Overall_ADP_Ra!$B$2:$E$416,4,FALSE)</f>
        <v>410</v>
      </c>
      <c r="H180">
        <v>7.8</v>
      </c>
      <c r="I180">
        <v>2.9</v>
      </c>
      <c r="J180">
        <v>0</v>
      </c>
      <c r="K180">
        <v>0</v>
      </c>
      <c r="L180">
        <v>0</v>
      </c>
      <c r="M180">
        <v>16</v>
      </c>
      <c r="N180">
        <v>2</v>
      </c>
      <c r="O180">
        <v>0</v>
      </c>
      <c r="P180">
        <v>5.6</v>
      </c>
      <c r="Q180">
        <v>5.2</v>
      </c>
      <c r="R180">
        <v>4.3</v>
      </c>
      <c r="S180">
        <v>2.4</v>
      </c>
      <c r="T180">
        <v>0</v>
      </c>
      <c r="U180">
        <v>0</v>
      </c>
      <c r="V180">
        <v>73.8</v>
      </c>
      <c r="W180">
        <v>5.7</v>
      </c>
      <c r="X180">
        <v>20</v>
      </c>
      <c r="Y180">
        <v>1</v>
      </c>
      <c r="Z180">
        <v>2</v>
      </c>
      <c r="AA180">
        <v>2</v>
      </c>
      <c r="AB180">
        <v>0</v>
      </c>
      <c r="AC180">
        <v>0</v>
      </c>
      <c r="AD180">
        <v>0</v>
      </c>
      <c r="AE180">
        <v>0.11764705882352941</v>
      </c>
      <c r="AF180">
        <v>0.15384615384615385</v>
      </c>
      <c r="AG180">
        <v>0</v>
      </c>
      <c r="AH180">
        <v>0</v>
      </c>
      <c r="AI180">
        <v>0</v>
      </c>
    </row>
    <row r="181" spans="1:35" x14ac:dyDescent="0.25">
      <c r="A181">
        <v>2025</v>
      </c>
      <c r="B181" t="s">
        <v>346</v>
      </c>
      <c r="C181" t="s">
        <v>74</v>
      </c>
      <c r="D181" t="str" cm="1">
        <f t="array" ref="D181">_xlfn.XLOOKUP(1,('26 WR'!A:A=E181)*('26 WR'!B:B=F181),'26 WR'!C:C)</f>
        <v>Ja'Tavion Sanders</v>
      </c>
      <c r="E181" t="s">
        <v>28</v>
      </c>
      <c r="F181">
        <v>45</v>
      </c>
      <c r="G181">
        <f>VLOOKUP(B181,[2]FantasyPros_2025_Overall_ADP_Ra!$B$2:$E$416,4,FALSE)</f>
        <v>412</v>
      </c>
      <c r="H181">
        <v>1.2</v>
      </c>
      <c r="I181">
        <v>10.8</v>
      </c>
      <c r="J181">
        <v>3.3</v>
      </c>
      <c r="K181">
        <v>12.2</v>
      </c>
      <c r="L181">
        <v>24.3</v>
      </c>
      <c r="M181">
        <v>10.1</v>
      </c>
      <c r="N181">
        <v>1.9</v>
      </c>
      <c r="O181">
        <v>0</v>
      </c>
      <c r="P181">
        <v>11.5</v>
      </c>
      <c r="Q181">
        <v>0.3</v>
      </c>
      <c r="R181">
        <v>17.100000000000001</v>
      </c>
      <c r="S181">
        <v>3.8</v>
      </c>
      <c r="T181">
        <v>7.7</v>
      </c>
      <c r="U181">
        <v>5.7</v>
      </c>
      <c r="V181">
        <v>147.30000000000001</v>
      </c>
      <c r="W181">
        <v>8.6999999999999993</v>
      </c>
      <c r="X181">
        <v>20</v>
      </c>
      <c r="Y181">
        <v>1</v>
      </c>
      <c r="Z181">
        <v>8</v>
      </c>
      <c r="AA181">
        <v>2</v>
      </c>
      <c r="AB181">
        <v>1</v>
      </c>
      <c r="AC181">
        <v>0</v>
      </c>
      <c r="AD181">
        <v>0</v>
      </c>
      <c r="AE181">
        <v>0.47058823529411764</v>
      </c>
      <c r="AF181">
        <v>0.11764705882352941</v>
      </c>
      <c r="AG181">
        <v>5.8823529411764705E-2</v>
      </c>
      <c r="AH181">
        <v>0</v>
      </c>
      <c r="AI181">
        <v>0</v>
      </c>
    </row>
    <row r="182" spans="1:35" x14ac:dyDescent="0.25">
      <c r="A182">
        <v>2025</v>
      </c>
      <c r="B182" t="s">
        <v>19</v>
      </c>
      <c r="C182" t="s">
        <v>21</v>
      </c>
      <c r="D182" t="str" cm="1">
        <f t="array" ref="D182">_xlfn.XLOOKUP(1,('26 WR'!A:A=E182)*('26 WR'!B:B=F182),'26 WR'!C:C)</f>
        <v>Ja'Marr Chase</v>
      </c>
      <c r="E182" t="s">
        <v>20</v>
      </c>
      <c r="F182">
        <v>1</v>
      </c>
      <c r="G182">
        <f>VLOOKUP(B182,[2]FantasyPros_2025_Overall_ADP_Ra!$B$2:$E$416,4,FALSE)</f>
        <v>1</v>
      </c>
      <c r="H182">
        <v>4.5999999999999996</v>
      </c>
      <c r="I182">
        <v>36.5</v>
      </c>
      <c r="J182">
        <v>8.9</v>
      </c>
      <c r="K182">
        <v>7.3</v>
      </c>
      <c r="L182">
        <v>29</v>
      </c>
      <c r="M182">
        <v>25.1</v>
      </c>
      <c r="N182">
        <v>38.1</v>
      </c>
      <c r="O182">
        <v>21.1</v>
      </c>
      <c r="P182">
        <v>17.100000000000001</v>
      </c>
      <c r="Q182">
        <v>0</v>
      </c>
      <c r="R182">
        <v>6</v>
      </c>
      <c r="S182">
        <v>0</v>
      </c>
      <c r="T182">
        <v>18</v>
      </c>
      <c r="U182">
        <v>10.199999999999999</v>
      </c>
      <c r="V182">
        <v>313.60000000000002</v>
      </c>
      <c r="W182">
        <v>19.600000000000001</v>
      </c>
      <c r="X182">
        <v>1</v>
      </c>
      <c r="Y182">
        <v>1</v>
      </c>
      <c r="Z182">
        <v>12</v>
      </c>
      <c r="AA182">
        <v>11</v>
      </c>
      <c r="AB182">
        <v>8</v>
      </c>
      <c r="AC182">
        <v>4</v>
      </c>
      <c r="AD182">
        <v>2</v>
      </c>
      <c r="AE182">
        <v>0.70588235294117652</v>
      </c>
      <c r="AF182">
        <v>0.6875</v>
      </c>
      <c r="AG182">
        <v>0.5</v>
      </c>
      <c r="AH182">
        <v>0.25</v>
      </c>
      <c r="AI182">
        <v>0.125</v>
      </c>
    </row>
    <row r="183" spans="1:35" x14ac:dyDescent="0.25">
      <c r="A183">
        <v>2025</v>
      </c>
      <c r="B183" t="s">
        <v>34</v>
      </c>
      <c r="C183" t="s">
        <v>35</v>
      </c>
      <c r="D183" t="str" cm="1">
        <f t="array" ref="D183">_xlfn.XLOOKUP(1,('26 WR'!A:A=E183)*('26 WR'!B:B=F183),'26 WR'!C:C)</f>
        <v>Puka Nacua</v>
      </c>
      <c r="E183" t="s">
        <v>20</v>
      </c>
      <c r="F183">
        <v>2</v>
      </c>
      <c r="G183">
        <f>VLOOKUP(B183,[2]FantasyPros_2025_Overall_ADP_Ra!$B$2:$E$416,4,FALSE)</f>
        <v>4</v>
      </c>
      <c r="H183">
        <v>18</v>
      </c>
      <c r="I183">
        <v>20.2</v>
      </c>
      <c r="J183">
        <v>0</v>
      </c>
      <c r="K183">
        <v>0</v>
      </c>
      <c r="L183">
        <v>0</v>
      </c>
      <c r="M183">
        <v>0</v>
      </c>
      <c r="N183">
        <v>22</v>
      </c>
      <c r="O183">
        <v>14.6</v>
      </c>
      <c r="P183">
        <v>15.5</v>
      </c>
      <c r="Q183">
        <v>0</v>
      </c>
      <c r="R183">
        <v>17.600000000000001</v>
      </c>
      <c r="S183">
        <v>11.5</v>
      </c>
      <c r="T183">
        <v>24.2</v>
      </c>
      <c r="U183">
        <v>18.100000000000001</v>
      </c>
      <c r="V183">
        <v>200.9</v>
      </c>
      <c r="W183">
        <v>14.4</v>
      </c>
      <c r="X183">
        <v>1</v>
      </c>
      <c r="Y183">
        <v>1</v>
      </c>
      <c r="Z183">
        <v>11</v>
      </c>
      <c r="AA183">
        <v>8</v>
      </c>
      <c r="AB183">
        <v>3</v>
      </c>
      <c r="AC183">
        <v>0</v>
      </c>
      <c r="AD183">
        <v>0</v>
      </c>
      <c r="AE183">
        <v>0.6470588235294118</v>
      </c>
      <c r="AF183">
        <v>0.5714285714285714</v>
      </c>
      <c r="AG183">
        <v>0.21428571428571427</v>
      </c>
      <c r="AH183">
        <v>0</v>
      </c>
      <c r="AI183">
        <v>0</v>
      </c>
    </row>
    <row r="184" spans="1:35" x14ac:dyDescent="0.25">
      <c r="A184">
        <v>2025</v>
      </c>
      <c r="B184" t="s">
        <v>30</v>
      </c>
      <c r="C184" t="s">
        <v>31</v>
      </c>
      <c r="D184" t="str" cm="1">
        <f t="array" ref="D184">_xlfn.XLOOKUP(1,('26 WR'!A:A=E184)*('26 WR'!B:B=F184),'26 WR'!C:C)</f>
        <v>Jaxon Smith-Njigba</v>
      </c>
      <c r="E184" t="s">
        <v>20</v>
      </c>
      <c r="F184">
        <v>3</v>
      </c>
      <c r="G184">
        <f>VLOOKUP(B184,[2]FantasyPros_2025_Overall_ADP_Ra!$B$2:$E$416,4,FALSE)</f>
        <v>6</v>
      </c>
      <c r="H184">
        <v>14.8</v>
      </c>
      <c r="I184">
        <v>11.1</v>
      </c>
      <c r="J184">
        <v>12.5</v>
      </c>
      <c r="K184">
        <v>22.6</v>
      </c>
      <c r="L184">
        <v>19.3</v>
      </c>
      <c r="M184">
        <v>0</v>
      </c>
      <c r="N184">
        <v>12.9</v>
      </c>
      <c r="O184">
        <v>14.4</v>
      </c>
      <c r="P184">
        <v>16.7</v>
      </c>
      <c r="Q184">
        <v>7.7</v>
      </c>
      <c r="R184">
        <v>11.1</v>
      </c>
      <c r="S184">
        <v>8.8000000000000007</v>
      </c>
      <c r="T184">
        <v>2.4</v>
      </c>
      <c r="U184">
        <v>3.1</v>
      </c>
      <c r="V184">
        <v>201.5</v>
      </c>
      <c r="W184">
        <v>11.9</v>
      </c>
      <c r="X184">
        <v>1</v>
      </c>
      <c r="Y184">
        <v>1</v>
      </c>
      <c r="Z184">
        <v>11</v>
      </c>
      <c r="AA184">
        <v>4</v>
      </c>
      <c r="AB184">
        <v>1</v>
      </c>
      <c r="AC184">
        <v>0</v>
      </c>
      <c r="AD184">
        <v>0</v>
      </c>
      <c r="AE184">
        <v>0.6470588235294118</v>
      </c>
      <c r="AF184">
        <v>0.23529411764705882</v>
      </c>
      <c r="AG184">
        <v>5.8823529411764705E-2</v>
      </c>
      <c r="AH184">
        <v>0</v>
      </c>
      <c r="AI184">
        <v>0</v>
      </c>
    </row>
    <row r="185" spans="1:35" x14ac:dyDescent="0.25">
      <c r="A185">
        <v>2025</v>
      </c>
      <c r="B185" t="s">
        <v>38</v>
      </c>
      <c r="C185" t="s">
        <v>39</v>
      </c>
      <c r="D185" t="str" cm="1">
        <f t="array" ref="D185">_xlfn.XLOOKUP(1,('26 WR'!A:A=E185)*('26 WR'!B:B=F185),'26 WR'!C:C)</f>
        <v>Amon-Ra St. Brown</v>
      </c>
      <c r="E185" t="s">
        <v>20</v>
      </c>
      <c r="F185">
        <v>4</v>
      </c>
      <c r="G185">
        <f>VLOOKUP(B185,[2]FantasyPros_2025_Overall_ADP_Ra!$B$2:$E$416,4,FALSE)</f>
        <v>8</v>
      </c>
      <c r="H185">
        <v>5.5</v>
      </c>
      <c r="I185">
        <v>14.2</v>
      </c>
      <c r="J185">
        <v>22.4</v>
      </c>
      <c r="K185">
        <v>11.9</v>
      </c>
      <c r="L185">
        <v>16</v>
      </c>
      <c r="M185">
        <v>0</v>
      </c>
      <c r="N185">
        <v>6.7</v>
      </c>
      <c r="O185">
        <v>0</v>
      </c>
      <c r="P185">
        <v>14.5</v>
      </c>
      <c r="Q185">
        <v>22.6</v>
      </c>
      <c r="R185">
        <v>24.2</v>
      </c>
      <c r="S185">
        <v>8.5</v>
      </c>
      <c r="T185">
        <v>21.5</v>
      </c>
      <c r="U185">
        <v>16.100000000000001</v>
      </c>
      <c r="V185">
        <v>226.2</v>
      </c>
      <c r="W185">
        <v>15.1</v>
      </c>
      <c r="X185">
        <v>1</v>
      </c>
      <c r="Y185">
        <v>1</v>
      </c>
      <c r="Z185">
        <v>10</v>
      </c>
      <c r="AA185">
        <v>7</v>
      </c>
      <c r="AB185">
        <v>5</v>
      </c>
      <c r="AC185">
        <v>0</v>
      </c>
      <c r="AD185">
        <v>0</v>
      </c>
      <c r="AE185">
        <v>0.58823529411764708</v>
      </c>
      <c r="AF185">
        <v>0.46666666666666667</v>
      </c>
      <c r="AG185">
        <v>0.33333333333333331</v>
      </c>
      <c r="AH185">
        <v>0</v>
      </c>
      <c r="AI185">
        <v>0</v>
      </c>
    </row>
    <row r="186" spans="1:35" x14ac:dyDescent="0.25">
      <c r="A186">
        <v>2025</v>
      </c>
      <c r="B186" t="s">
        <v>42</v>
      </c>
      <c r="C186" t="s">
        <v>43</v>
      </c>
      <c r="D186" t="str" cm="1">
        <f t="array" ref="D186">_xlfn.XLOOKUP(1,('26 WR'!A:A=E186)*('26 WR'!B:B=F186),'26 WR'!C:C)</f>
        <v>CeeDee Lamb</v>
      </c>
      <c r="E186" t="s">
        <v>20</v>
      </c>
      <c r="F186">
        <v>5</v>
      </c>
      <c r="G186">
        <f>VLOOKUP(B186,[2]FantasyPros_2025_Overall_ADP_Ra!$B$2:$E$416,4,FALSE)</f>
        <v>10</v>
      </c>
      <c r="H186">
        <v>12.1</v>
      </c>
      <c r="I186">
        <v>37.700000000000003</v>
      </c>
      <c r="J186">
        <v>3.3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57.1</v>
      </c>
      <c r="W186">
        <v>14.3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1</v>
      </c>
      <c r="AD186">
        <v>1</v>
      </c>
      <c r="AE186">
        <v>0.11764705882352941</v>
      </c>
      <c r="AF186">
        <v>0.25</v>
      </c>
      <c r="AG186">
        <v>0.25</v>
      </c>
      <c r="AH186">
        <v>0.25</v>
      </c>
      <c r="AI186">
        <v>0.25</v>
      </c>
    </row>
    <row r="187" spans="1:35" x14ac:dyDescent="0.25">
      <c r="A187">
        <v>2025</v>
      </c>
      <c r="B187" t="s">
        <v>46</v>
      </c>
      <c r="C187" t="s">
        <v>37</v>
      </c>
      <c r="D187" t="str" cm="1">
        <f t="array" ref="D187">_xlfn.XLOOKUP(1,('26 WR'!A:A=E187)*('26 WR'!B:B=F187),'26 WR'!C:C)</f>
        <v>Justin Jefferson</v>
      </c>
      <c r="E187" t="s">
        <v>20</v>
      </c>
      <c r="F187">
        <v>6</v>
      </c>
      <c r="G187">
        <v>11</v>
      </c>
      <c r="H187">
        <v>8.5</v>
      </c>
      <c r="I187">
        <v>39.200000000000003</v>
      </c>
      <c r="J187">
        <v>20.7</v>
      </c>
      <c r="K187">
        <v>26</v>
      </c>
      <c r="L187">
        <v>18</v>
      </c>
      <c r="M187">
        <v>13.7</v>
      </c>
      <c r="N187">
        <v>20.6</v>
      </c>
      <c r="O187">
        <v>0</v>
      </c>
      <c r="P187">
        <v>18.7</v>
      </c>
      <c r="Q187">
        <v>16.8</v>
      </c>
      <c r="R187">
        <v>6.2</v>
      </c>
      <c r="S187">
        <v>29.9</v>
      </c>
      <c r="T187">
        <v>0</v>
      </c>
      <c r="U187">
        <v>15.2</v>
      </c>
      <c r="V187">
        <v>324</v>
      </c>
      <c r="W187">
        <v>19.100000000000001</v>
      </c>
      <c r="X187">
        <v>1</v>
      </c>
      <c r="Y187">
        <v>1</v>
      </c>
      <c r="Z187">
        <v>13</v>
      </c>
      <c r="AA187">
        <v>11</v>
      </c>
      <c r="AB187">
        <v>7</v>
      </c>
      <c r="AC187">
        <v>4</v>
      </c>
      <c r="AD187">
        <v>2</v>
      </c>
      <c r="AE187">
        <v>0.76470588235294112</v>
      </c>
      <c r="AF187">
        <v>0.6470588235294118</v>
      </c>
      <c r="AG187">
        <v>0.41176470588235292</v>
      </c>
      <c r="AH187">
        <v>0.23529411764705882</v>
      </c>
      <c r="AI187">
        <v>0.11764705882352941</v>
      </c>
    </row>
    <row r="188" spans="1:35" x14ac:dyDescent="0.25">
      <c r="A188">
        <v>2025</v>
      </c>
      <c r="B188" t="s">
        <v>48</v>
      </c>
      <c r="C188" t="s">
        <v>49</v>
      </c>
      <c r="D188" t="str" cm="1">
        <f t="array" ref="D188">_xlfn.XLOOKUP(1,('26 WR'!A:A=E188)*('26 WR'!B:B=F188),'26 WR'!C:C)</f>
        <v>Drake London</v>
      </c>
      <c r="E188" t="s">
        <v>20</v>
      </c>
      <c r="F188">
        <v>7</v>
      </c>
      <c r="G188">
        <f>VLOOKUP(B188,[2]FantasyPros_2025_Overall_ADP_Ra!$B$2:$E$416,4,FALSE)</f>
        <v>13</v>
      </c>
      <c r="H188">
        <v>23.1</v>
      </c>
      <c r="I188">
        <v>27.6</v>
      </c>
      <c r="J188">
        <v>22.8</v>
      </c>
      <c r="K188">
        <v>36</v>
      </c>
      <c r="L188">
        <v>24.5</v>
      </c>
      <c r="M188">
        <v>4.8</v>
      </c>
      <c r="N188">
        <v>0</v>
      </c>
      <c r="O188">
        <v>0</v>
      </c>
      <c r="P188">
        <v>22.8</v>
      </c>
      <c r="Q188">
        <v>17.399999999999999</v>
      </c>
      <c r="R188">
        <v>14.3</v>
      </c>
      <c r="S188">
        <v>16.7</v>
      </c>
      <c r="T188">
        <v>13.2</v>
      </c>
      <c r="U188">
        <v>35.700000000000003</v>
      </c>
      <c r="V188">
        <v>375</v>
      </c>
      <c r="W188">
        <v>23.4</v>
      </c>
      <c r="X188">
        <v>2</v>
      </c>
      <c r="Y188">
        <v>1</v>
      </c>
      <c r="Z188">
        <v>15</v>
      </c>
      <c r="AA188">
        <v>13</v>
      </c>
      <c r="AB188">
        <v>10</v>
      </c>
      <c r="AC188">
        <v>6</v>
      </c>
      <c r="AD188">
        <v>3</v>
      </c>
      <c r="AE188">
        <v>0.88235294117647056</v>
      </c>
      <c r="AF188">
        <v>0.8125</v>
      </c>
      <c r="AG188">
        <v>0.625</v>
      </c>
      <c r="AH188">
        <v>0.375</v>
      </c>
      <c r="AI188">
        <v>0.1875</v>
      </c>
    </row>
    <row r="189" spans="1:35" x14ac:dyDescent="0.25">
      <c r="A189">
        <v>2025</v>
      </c>
      <c r="B189" t="s">
        <v>50</v>
      </c>
      <c r="C189" t="s">
        <v>51</v>
      </c>
      <c r="D189" t="str" cm="1">
        <f t="array" ref="D189">_xlfn.XLOOKUP(1,('26 WR'!A:A=E189)*('26 WR'!B:B=F189),'26 WR'!C:C)</f>
        <v>Nico Collins</v>
      </c>
      <c r="E189" t="s">
        <v>20</v>
      </c>
      <c r="F189">
        <v>8</v>
      </c>
      <c r="G189">
        <f>VLOOKUP(B189,[2]FantasyPros_2025_Overall_ADP_Ra!$B$2:$E$416,4,FALSE)</f>
        <v>14</v>
      </c>
      <c r="H189">
        <v>9</v>
      </c>
      <c r="I189">
        <v>8.9</v>
      </c>
      <c r="J189">
        <v>7.5</v>
      </c>
      <c r="K189">
        <v>10.6</v>
      </c>
      <c r="L189">
        <v>12</v>
      </c>
      <c r="M189">
        <v>23</v>
      </c>
      <c r="N189">
        <v>6.1</v>
      </c>
      <c r="O189">
        <v>0</v>
      </c>
      <c r="P189">
        <v>8.5</v>
      </c>
      <c r="Q189">
        <v>0</v>
      </c>
      <c r="R189">
        <v>0</v>
      </c>
      <c r="S189">
        <v>0</v>
      </c>
      <c r="T189">
        <v>4.8</v>
      </c>
      <c r="U189">
        <v>11.7</v>
      </c>
      <c r="V189">
        <v>138.80000000000001</v>
      </c>
      <c r="W189">
        <v>9.9</v>
      </c>
      <c r="X189">
        <v>2</v>
      </c>
      <c r="Y189">
        <v>1</v>
      </c>
      <c r="Z189">
        <v>5</v>
      </c>
      <c r="AA189">
        <v>2</v>
      </c>
      <c r="AB189">
        <v>1</v>
      </c>
      <c r="AC189">
        <v>0</v>
      </c>
      <c r="AD189">
        <v>0</v>
      </c>
      <c r="AE189">
        <v>0.29411764705882354</v>
      </c>
      <c r="AF189">
        <v>0.14285714285714285</v>
      </c>
      <c r="AG189">
        <v>7.1428571428571425E-2</v>
      </c>
      <c r="AH189">
        <v>0</v>
      </c>
      <c r="AI189">
        <v>0</v>
      </c>
    </row>
    <row r="190" spans="1:35" x14ac:dyDescent="0.25">
      <c r="A190">
        <v>2025</v>
      </c>
      <c r="B190" t="s">
        <v>53</v>
      </c>
      <c r="C190" t="s">
        <v>24</v>
      </c>
      <c r="D190" t="str" cm="1">
        <f t="array" ref="D190">_xlfn.XLOOKUP(1,('26 WR'!A:A=E190)*('26 WR'!B:B=F190),'26 WR'!C:C)</f>
        <v>A.J. Brown</v>
      </c>
      <c r="E190" t="s">
        <v>20</v>
      </c>
      <c r="F190">
        <v>9</v>
      </c>
      <c r="G190">
        <f>VLOOKUP(B190,[2]FantasyPros_2025_Overall_ADP_Ra!$B$2:$E$416,4,FALSE)</f>
        <v>16</v>
      </c>
      <c r="H190">
        <v>13.5</v>
      </c>
      <c r="I190">
        <v>5.9</v>
      </c>
      <c r="J190">
        <v>10.5</v>
      </c>
      <c r="K190">
        <v>25</v>
      </c>
      <c r="L190">
        <v>0</v>
      </c>
      <c r="M190">
        <v>31.8</v>
      </c>
      <c r="N190">
        <v>8.1999999999999993</v>
      </c>
      <c r="O190">
        <v>0</v>
      </c>
      <c r="P190">
        <v>38.799999999999997</v>
      </c>
      <c r="Q190">
        <v>24.4</v>
      </c>
      <c r="R190">
        <v>18.899999999999999</v>
      </c>
      <c r="S190">
        <v>0</v>
      </c>
      <c r="T190">
        <v>0</v>
      </c>
      <c r="U190">
        <v>0</v>
      </c>
      <c r="V190">
        <v>201.9</v>
      </c>
      <c r="W190">
        <v>16.8</v>
      </c>
      <c r="X190">
        <v>2</v>
      </c>
      <c r="Y190">
        <v>1</v>
      </c>
      <c r="Z190">
        <v>8</v>
      </c>
      <c r="AA190">
        <v>6</v>
      </c>
      <c r="AB190">
        <v>4</v>
      </c>
      <c r="AC190">
        <v>2</v>
      </c>
      <c r="AD190">
        <v>2</v>
      </c>
      <c r="AE190">
        <v>0.47058823529411764</v>
      </c>
      <c r="AF190">
        <v>0.5</v>
      </c>
      <c r="AG190">
        <v>0.33333333333333331</v>
      </c>
      <c r="AH190">
        <v>0.16666666666666666</v>
      </c>
      <c r="AI190">
        <v>0.16666666666666666</v>
      </c>
    </row>
    <row r="191" spans="1:35" x14ac:dyDescent="0.25">
      <c r="A191">
        <v>2025</v>
      </c>
      <c r="B191" t="s">
        <v>62</v>
      </c>
      <c r="C191" t="s">
        <v>33</v>
      </c>
      <c r="D191" t="str" cm="1">
        <f t="array" ref="D191">_xlfn.XLOOKUP(1,('26 WR'!A:A=E191)*('26 WR'!B:B=F191),'26 WR'!C:C)</f>
        <v>George Pickens</v>
      </c>
      <c r="E191" t="s">
        <v>20</v>
      </c>
      <c r="F191">
        <v>10</v>
      </c>
      <c r="G191">
        <f>VLOOKUP(B191,[2]FantasyPros_2025_Overall_ADP_Ra!$B$2:$E$416,4,FALSE)</f>
        <v>22</v>
      </c>
      <c r="H191">
        <v>1.8</v>
      </c>
      <c r="I191">
        <v>7.7</v>
      </c>
      <c r="J191">
        <v>22.9</v>
      </c>
      <c r="K191">
        <v>2.7</v>
      </c>
      <c r="L191">
        <v>9.3000000000000007</v>
      </c>
      <c r="M191">
        <v>14</v>
      </c>
      <c r="N191">
        <v>28.1</v>
      </c>
      <c r="O191">
        <v>0</v>
      </c>
      <c r="P191">
        <v>0</v>
      </c>
      <c r="Q191">
        <v>3.3</v>
      </c>
      <c r="R191">
        <v>11.9</v>
      </c>
      <c r="S191">
        <v>25</v>
      </c>
      <c r="T191">
        <v>35.200000000000003</v>
      </c>
      <c r="U191">
        <v>16</v>
      </c>
      <c r="V191">
        <v>220.3</v>
      </c>
      <c r="W191">
        <v>14.7</v>
      </c>
      <c r="X191">
        <v>2</v>
      </c>
      <c r="Y191">
        <v>1</v>
      </c>
      <c r="Z191">
        <v>10</v>
      </c>
      <c r="AA191">
        <v>6</v>
      </c>
      <c r="AB191">
        <v>4</v>
      </c>
      <c r="AC191">
        <v>2</v>
      </c>
      <c r="AD191">
        <v>1</v>
      </c>
      <c r="AE191">
        <v>0.58823529411764708</v>
      </c>
      <c r="AF191">
        <v>0.4</v>
      </c>
      <c r="AG191">
        <v>0.26666666666666666</v>
      </c>
      <c r="AH191">
        <v>0.13333333333333333</v>
      </c>
      <c r="AI191">
        <v>6.6666666666666666E-2</v>
      </c>
    </row>
    <row r="192" spans="1:35" x14ac:dyDescent="0.25">
      <c r="A192">
        <v>2025</v>
      </c>
      <c r="B192" t="s">
        <v>64</v>
      </c>
      <c r="C192" t="s">
        <v>65</v>
      </c>
      <c r="D192" t="str" cm="1">
        <f t="array" ref="D192">_xlfn.XLOOKUP(1,('26 WR'!A:A=E192)*('26 WR'!B:B=F192),'26 WR'!C:C)</f>
        <v>Chris Olave</v>
      </c>
      <c r="E192" t="s">
        <v>20</v>
      </c>
      <c r="F192">
        <v>11</v>
      </c>
      <c r="G192">
        <f>VLOOKUP(B192,[2]FantasyPros_2025_Overall_ADP_Ra!$B$2:$E$416,4,FALSE)</f>
        <v>23</v>
      </c>
      <c r="H192">
        <v>13.4</v>
      </c>
      <c r="I192">
        <v>9.8000000000000007</v>
      </c>
      <c r="J192">
        <v>8.1</v>
      </c>
      <c r="K192">
        <v>2.1</v>
      </c>
      <c r="L192">
        <v>14.9</v>
      </c>
      <c r="M192">
        <v>23</v>
      </c>
      <c r="N192">
        <v>15.7</v>
      </c>
      <c r="O192">
        <v>20.8</v>
      </c>
      <c r="P192">
        <v>9.6</v>
      </c>
      <c r="Q192">
        <v>20.7</v>
      </c>
      <c r="R192">
        <v>4.3</v>
      </c>
      <c r="S192">
        <v>0</v>
      </c>
      <c r="T192">
        <v>13.9</v>
      </c>
      <c r="U192">
        <v>2.2000000000000002</v>
      </c>
      <c r="V192">
        <v>180.9</v>
      </c>
      <c r="W192">
        <v>11.3</v>
      </c>
      <c r="X192">
        <v>2</v>
      </c>
      <c r="Y192">
        <v>1</v>
      </c>
      <c r="Z192">
        <v>8</v>
      </c>
      <c r="AA192">
        <v>4</v>
      </c>
      <c r="AB192">
        <v>3</v>
      </c>
      <c r="AC192">
        <v>0</v>
      </c>
      <c r="AD192">
        <v>0</v>
      </c>
      <c r="AE192">
        <v>0.47058823529411764</v>
      </c>
      <c r="AF192">
        <v>0.25</v>
      </c>
      <c r="AG192">
        <v>0.1875</v>
      </c>
      <c r="AH192">
        <v>0</v>
      </c>
      <c r="AI192">
        <v>0</v>
      </c>
    </row>
    <row r="193" spans="1:35" x14ac:dyDescent="0.25">
      <c r="A193">
        <v>2025</v>
      </c>
      <c r="B193" t="s">
        <v>69</v>
      </c>
      <c r="C193" t="s">
        <v>21</v>
      </c>
      <c r="D193" t="str" cm="1">
        <f t="array" ref="D193">_xlfn.XLOOKUP(1,('26 WR'!A:A=E193)*('26 WR'!B:B=F193),'26 WR'!C:C)</f>
        <v>Rashee Rice</v>
      </c>
      <c r="E193" t="s">
        <v>20</v>
      </c>
      <c r="F193">
        <v>12</v>
      </c>
      <c r="G193">
        <f>VLOOKUP(B193,[2]FantasyPros_2025_Overall_ADP_Ra!$B$2:$E$416,4,FALSE)</f>
        <v>26</v>
      </c>
      <c r="H193">
        <v>6.3</v>
      </c>
      <c r="I193">
        <v>14.6</v>
      </c>
      <c r="J193">
        <v>2.5</v>
      </c>
      <c r="K193">
        <v>6.2</v>
      </c>
      <c r="L193">
        <v>11.2</v>
      </c>
      <c r="M193">
        <v>11.2</v>
      </c>
      <c r="N193">
        <v>21.6</v>
      </c>
      <c r="O193">
        <v>11.4</v>
      </c>
      <c r="P193">
        <v>33.1</v>
      </c>
      <c r="Q193">
        <v>0</v>
      </c>
      <c r="R193">
        <v>15.3</v>
      </c>
      <c r="S193">
        <v>8.1</v>
      </c>
      <c r="T193">
        <v>0</v>
      </c>
      <c r="U193">
        <v>27.2</v>
      </c>
      <c r="V193">
        <v>211.6</v>
      </c>
      <c r="W193">
        <v>14.1</v>
      </c>
      <c r="X193">
        <v>3</v>
      </c>
      <c r="Y193">
        <v>1</v>
      </c>
      <c r="Z193">
        <v>10</v>
      </c>
      <c r="AA193">
        <v>5</v>
      </c>
      <c r="AB193">
        <v>3</v>
      </c>
      <c r="AC193">
        <v>2</v>
      </c>
      <c r="AD193">
        <v>1</v>
      </c>
      <c r="AE193">
        <v>0.58823529411764708</v>
      </c>
      <c r="AF193">
        <v>0.33333333333333331</v>
      </c>
      <c r="AG193">
        <v>0.2</v>
      </c>
      <c r="AH193">
        <v>0.13333333333333333</v>
      </c>
      <c r="AI193">
        <v>6.6666666666666666E-2</v>
      </c>
    </row>
    <row r="194" spans="1:35" x14ac:dyDescent="0.25">
      <c r="A194">
        <v>2025</v>
      </c>
      <c r="B194" t="s">
        <v>73</v>
      </c>
      <c r="C194" t="s">
        <v>74</v>
      </c>
      <c r="D194" t="str" cm="1">
        <f t="array" ref="D194">_xlfn.XLOOKUP(1,('26 WR'!A:A=E194)*('26 WR'!B:B=F194),'26 WR'!C:C)</f>
        <v>DeVonta Smith</v>
      </c>
      <c r="E194" t="s">
        <v>20</v>
      </c>
      <c r="F194">
        <v>13</v>
      </c>
      <c r="G194">
        <f>VLOOKUP(B194,[2]FantasyPros_2025_Overall_ADP_Ra!$B$2:$E$416,4,FALSE)</f>
        <v>30</v>
      </c>
      <c r="H194">
        <v>19.399999999999999</v>
      </c>
      <c r="I194">
        <v>18.3</v>
      </c>
      <c r="J194">
        <v>20.6</v>
      </c>
      <c r="K194">
        <v>13</v>
      </c>
      <c r="L194">
        <v>27.2</v>
      </c>
      <c r="M194">
        <v>30.2</v>
      </c>
      <c r="N194">
        <v>26.3</v>
      </c>
      <c r="O194">
        <v>0</v>
      </c>
      <c r="P194">
        <v>22</v>
      </c>
      <c r="Q194">
        <v>20.3</v>
      </c>
      <c r="R194">
        <v>20.6</v>
      </c>
      <c r="S194">
        <v>37.1</v>
      </c>
      <c r="T194">
        <v>4.3</v>
      </c>
      <c r="U194">
        <v>28.1</v>
      </c>
      <c r="V194">
        <v>359.9</v>
      </c>
      <c r="W194">
        <v>21.2</v>
      </c>
      <c r="X194">
        <v>3</v>
      </c>
      <c r="Y194">
        <v>1</v>
      </c>
      <c r="Z194">
        <v>16</v>
      </c>
      <c r="AA194">
        <v>14</v>
      </c>
      <c r="AB194">
        <v>10</v>
      </c>
      <c r="AC194">
        <v>5</v>
      </c>
      <c r="AD194">
        <v>2</v>
      </c>
      <c r="AE194">
        <v>0.94117647058823528</v>
      </c>
      <c r="AF194">
        <v>0.82352941176470584</v>
      </c>
      <c r="AG194">
        <v>0.58823529411764708</v>
      </c>
      <c r="AH194">
        <v>0.29411764705882354</v>
      </c>
      <c r="AI194">
        <v>0.11764705882352941</v>
      </c>
    </row>
    <row r="195" spans="1:35" x14ac:dyDescent="0.25">
      <c r="A195">
        <v>2025</v>
      </c>
      <c r="B195" t="s">
        <v>75</v>
      </c>
      <c r="C195" t="s">
        <v>57</v>
      </c>
      <c r="D195" t="str" cm="1">
        <f t="array" ref="D195">_xlfn.XLOOKUP(1,('26 WR'!A:A=E195)*('26 WR'!B:B=F195),'26 WR'!C:C)</f>
        <v>Tetairoa McMillan</v>
      </c>
      <c r="E195" t="s">
        <v>20</v>
      </c>
      <c r="F195">
        <v>14</v>
      </c>
      <c r="G195">
        <f>VLOOKUP(B195,[2]FantasyPros_2025_Overall_ADP_Ra!$B$2:$E$416,4,FALSE)</f>
        <v>31</v>
      </c>
      <c r="H195">
        <v>10.1</v>
      </c>
      <c r="I195">
        <v>10.6</v>
      </c>
      <c r="J195">
        <v>13.3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84.8</v>
      </c>
      <c r="W195">
        <v>10.6</v>
      </c>
      <c r="X195">
        <v>3</v>
      </c>
      <c r="Y195">
        <v>1</v>
      </c>
      <c r="Z195">
        <v>6</v>
      </c>
      <c r="AA195">
        <v>1</v>
      </c>
      <c r="AB195">
        <v>0</v>
      </c>
      <c r="AC195">
        <v>0</v>
      </c>
      <c r="AD195">
        <v>0</v>
      </c>
      <c r="AE195">
        <v>0.35294117647058826</v>
      </c>
      <c r="AF195">
        <v>0.125</v>
      </c>
      <c r="AG195">
        <v>0</v>
      </c>
      <c r="AH195">
        <v>0</v>
      </c>
      <c r="AI195">
        <v>0</v>
      </c>
    </row>
    <row r="196" spans="1:35" x14ac:dyDescent="0.25">
      <c r="A196">
        <v>2025</v>
      </c>
      <c r="B196" t="s">
        <v>81</v>
      </c>
      <c r="C196" t="s">
        <v>59</v>
      </c>
      <c r="D196" t="str" cm="1">
        <f t="array" ref="D196">_xlfn.XLOOKUP(1,('26 WR'!A:A=E196)*('26 WR'!B:B=F196),'26 WR'!C:C)</f>
        <v>Garrett Wilson</v>
      </c>
      <c r="E196" t="s">
        <v>20</v>
      </c>
      <c r="F196">
        <v>15</v>
      </c>
      <c r="G196">
        <f>VLOOKUP(B196,[2]FantasyPros_2025_Overall_ADP_Ra!$B$2:$E$416,4,FALSE)</f>
        <v>35</v>
      </c>
      <c r="H196">
        <v>8</v>
      </c>
      <c r="I196">
        <v>16.899999999999999</v>
      </c>
      <c r="J196">
        <v>15.9</v>
      </c>
      <c r="K196">
        <v>12.7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53.5</v>
      </c>
      <c r="W196">
        <v>13.4</v>
      </c>
      <c r="X196">
        <v>3</v>
      </c>
      <c r="Y196">
        <v>1</v>
      </c>
      <c r="Z196">
        <v>3</v>
      </c>
      <c r="AA196">
        <v>2</v>
      </c>
      <c r="AB196">
        <v>0</v>
      </c>
      <c r="AC196">
        <v>0</v>
      </c>
      <c r="AD196">
        <v>0</v>
      </c>
      <c r="AE196">
        <v>0.17647058823529413</v>
      </c>
      <c r="AF196">
        <v>0.5</v>
      </c>
      <c r="AG196">
        <v>0</v>
      </c>
      <c r="AH196">
        <v>0</v>
      </c>
      <c r="AI196">
        <v>0</v>
      </c>
    </row>
    <row r="197" spans="1:35" x14ac:dyDescent="0.25">
      <c r="A197">
        <v>2025</v>
      </c>
      <c r="B197" t="s">
        <v>82</v>
      </c>
      <c r="C197" t="s">
        <v>80</v>
      </c>
      <c r="D197" t="str" cm="1">
        <f t="array" ref="D197">_xlfn.XLOOKUP(1,('26 WR'!A:A=E197)*('26 WR'!B:B=F197),'26 WR'!C:C)</f>
        <v>Malik Nabers</v>
      </c>
      <c r="E197" t="s">
        <v>20</v>
      </c>
      <c r="F197">
        <v>16</v>
      </c>
      <c r="G197">
        <f>VLOOKUP(B197,[2]FantasyPros_2025_Overall_ADP_Ra!$B$2:$E$416,4,FALSE)</f>
        <v>37</v>
      </c>
      <c r="H197">
        <v>4.7</v>
      </c>
      <c r="I197">
        <v>9.8000000000000007</v>
      </c>
      <c r="J197">
        <v>10.4</v>
      </c>
      <c r="K197">
        <v>0</v>
      </c>
      <c r="L197">
        <v>0</v>
      </c>
      <c r="M197">
        <v>0</v>
      </c>
      <c r="N197">
        <v>0</v>
      </c>
      <c r="O197">
        <v>14.4</v>
      </c>
      <c r="P197">
        <v>0</v>
      </c>
      <c r="Q197">
        <v>0</v>
      </c>
      <c r="R197">
        <v>0</v>
      </c>
      <c r="S197">
        <v>0</v>
      </c>
      <c r="T197">
        <v>22.6</v>
      </c>
      <c r="U197">
        <v>7.1</v>
      </c>
      <c r="V197">
        <v>114.2</v>
      </c>
      <c r="W197">
        <v>11.4</v>
      </c>
      <c r="X197">
        <v>4</v>
      </c>
      <c r="Y197">
        <v>1</v>
      </c>
      <c r="Z197">
        <v>5</v>
      </c>
      <c r="AA197">
        <v>2</v>
      </c>
      <c r="AB197">
        <v>1</v>
      </c>
      <c r="AC197">
        <v>0</v>
      </c>
      <c r="AD197">
        <v>0</v>
      </c>
      <c r="AE197">
        <v>0.29411764705882354</v>
      </c>
      <c r="AF197">
        <v>0.2</v>
      </c>
      <c r="AG197">
        <v>0.1</v>
      </c>
      <c r="AH197">
        <v>0</v>
      </c>
      <c r="AI197">
        <v>0</v>
      </c>
    </row>
    <row r="198" spans="1:35" x14ac:dyDescent="0.25">
      <c r="A198">
        <v>2025</v>
      </c>
      <c r="B198" t="s">
        <v>83</v>
      </c>
      <c r="C198" t="s">
        <v>45</v>
      </c>
      <c r="D198" t="str" cm="1">
        <f t="array" ref="D198">_xlfn.XLOOKUP(1,('26 WR'!A:A=E198)*('26 WR'!B:B=F198),'26 WR'!C:C)</f>
        <v>Tee Higgins</v>
      </c>
      <c r="E198" t="s">
        <v>20</v>
      </c>
      <c r="F198">
        <v>17</v>
      </c>
      <c r="G198">
        <f>VLOOKUP(B198,[2]FantasyPros_2025_Overall_ADP_Ra!$B$2:$E$416,4,FALSE)</f>
        <v>38</v>
      </c>
      <c r="H198">
        <v>18.100000000000001</v>
      </c>
      <c r="I198">
        <v>4.7</v>
      </c>
      <c r="J198">
        <v>7.4</v>
      </c>
      <c r="K198">
        <v>18.600000000000001</v>
      </c>
      <c r="L198">
        <v>13.8</v>
      </c>
      <c r="M198">
        <v>5.2</v>
      </c>
      <c r="N198">
        <v>7.8</v>
      </c>
      <c r="O198">
        <v>0</v>
      </c>
      <c r="P198">
        <v>22.6</v>
      </c>
      <c r="Q198">
        <v>14.3</v>
      </c>
      <c r="R198">
        <v>0</v>
      </c>
      <c r="S198">
        <v>0</v>
      </c>
      <c r="T198">
        <v>12.9</v>
      </c>
      <c r="U198">
        <v>0</v>
      </c>
      <c r="V198">
        <v>127.8</v>
      </c>
      <c r="W198">
        <v>10.7</v>
      </c>
      <c r="X198">
        <v>4</v>
      </c>
      <c r="Y198">
        <v>1</v>
      </c>
      <c r="Z198">
        <v>6</v>
      </c>
      <c r="AA198">
        <v>3</v>
      </c>
      <c r="AB198">
        <v>1</v>
      </c>
      <c r="AC198">
        <v>0</v>
      </c>
      <c r="AD198">
        <v>0</v>
      </c>
      <c r="AE198">
        <v>0.35294117647058826</v>
      </c>
      <c r="AF198">
        <v>0.25</v>
      </c>
      <c r="AG198">
        <v>8.3333333333333329E-2</v>
      </c>
      <c r="AH198">
        <v>0</v>
      </c>
      <c r="AI198">
        <v>0</v>
      </c>
    </row>
    <row r="199" spans="1:35" x14ac:dyDescent="0.25">
      <c r="A199">
        <v>2025</v>
      </c>
      <c r="B199" t="s">
        <v>84</v>
      </c>
      <c r="C199" t="s">
        <v>85</v>
      </c>
      <c r="D199" t="str" cm="1">
        <f t="array" ref="D199">_xlfn.XLOOKUP(1,('26 WR'!A:A=E199)*('26 WR'!B:B=F199),'26 WR'!C:C)</f>
        <v>Zay Flowers</v>
      </c>
      <c r="E199" t="s">
        <v>20</v>
      </c>
      <c r="F199">
        <v>18</v>
      </c>
      <c r="G199">
        <f>VLOOKUP(B199,[2]FantasyPros_2025_Overall_ADP_Ra!$B$2:$E$416,4,FALSE)</f>
        <v>39</v>
      </c>
      <c r="H199">
        <v>0</v>
      </c>
      <c r="I199">
        <v>0</v>
      </c>
      <c r="J199">
        <v>0</v>
      </c>
      <c r="K199">
        <v>17.100000000000001</v>
      </c>
      <c r="L199">
        <v>11.1</v>
      </c>
      <c r="M199">
        <v>10.6</v>
      </c>
      <c r="N199">
        <v>7.8</v>
      </c>
      <c r="O199">
        <v>10.3</v>
      </c>
      <c r="P199">
        <v>6</v>
      </c>
      <c r="Q199">
        <v>0</v>
      </c>
      <c r="R199">
        <v>5.5</v>
      </c>
      <c r="S199">
        <v>9.9</v>
      </c>
      <c r="T199">
        <v>11.4</v>
      </c>
      <c r="U199">
        <v>8.5</v>
      </c>
      <c r="V199">
        <v>109.9</v>
      </c>
      <c r="W199">
        <v>7.9</v>
      </c>
      <c r="X199">
        <v>4</v>
      </c>
      <c r="Y199">
        <v>1</v>
      </c>
      <c r="Z199">
        <v>5</v>
      </c>
      <c r="AA199">
        <v>1</v>
      </c>
      <c r="AB199">
        <v>0</v>
      </c>
      <c r="AC199">
        <v>0</v>
      </c>
      <c r="AD199">
        <v>0</v>
      </c>
      <c r="AE199">
        <v>0.29411764705882354</v>
      </c>
      <c r="AF199">
        <v>7.1428571428571425E-2</v>
      </c>
      <c r="AG199">
        <v>0</v>
      </c>
      <c r="AH199">
        <v>0</v>
      </c>
      <c r="AI199">
        <v>0</v>
      </c>
    </row>
    <row r="200" spans="1:35" x14ac:dyDescent="0.25">
      <c r="A200">
        <v>2025</v>
      </c>
      <c r="B200" t="s">
        <v>87</v>
      </c>
      <c r="C200" t="s">
        <v>49</v>
      </c>
      <c r="D200" t="str" cm="1">
        <f t="array" ref="D200">_xlfn.XLOOKUP(1,('26 WR'!A:A=E200)*('26 WR'!B:B=F200),'26 WR'!C:C)</f>
        <v>Ladd McConkey</v>
      </c>
      <c r="E200" t="s">
        <v>20</v>
      </c>
      <c r="F200">
        <v>19</v>
      </c>
      <c r="G200">
        <f>VLOOKUP(B200,[2]FantasyPros_2025_Overall_ADP_Ra!$B$2:$E$416,4,FALSE)</f>
        <v>41</v>
      </c>
      <c r="H200">
        <v>9.1</v>
      </c>
      <c r="I200">
        <v>22.6</v>
      </c>
      <c r="J200">
        <v>14.6</v>
      </c>
      <c r="K200">
        <v>15.6</v>
      </c>
      <c r="L200">
        <v>13.8</v>
      </c>
      <c r="M200">
        <v>7.9</v>
      </c>
      <c r="N200">
        <v>26.5</v>
      </c>
      <c r="O200">
        <v>0</v>
      </c>
      <c r="P200">
        <v>23</v>
      </c>
      <c r="Q200">
        <v>19.7</v>
      </c>
      <c r="R200">
        <v>7.1</v>
      </c>
      <c r="S200">
        <v>23.2</v>
      </c>
      <c r="T200">
        <v>21.8</v>
      </c>
      <c r="U200">
        <v>6.9</v>
      </c>
      <c r="V200">
        <v>222.9</v>
      </c>
      <c r="W200">
        <v>15.9</v>
      </c>
      <c r="X200">
        <v>4</v>
      </c>
      <c r="Y200">
        <v>1</v>
      </c>
      <c r="Z200">
        <v>10</v>
      </c>
      <c r="AA200">
        <v>7</v>
      </c>
      <c r="AB200">
        <v>5</v>
      </c>
      <c r="AC200">
        <v>1</v>
      </c>
      <c r="AD200">
        <v>0</v>
      </c>
      <c r="AE200">
        <v>0.58823529411764708</v>
      </c>
      <c r="AF200">
        <v>0.5</v>
      </c>
      <c r="AG200">
        <v>0.35714285714285715</v>
      </c>
      <c r="AH200">
        <v>7.1428571428571425E-2</v>
      </c>
      <c r="AI200">
        <v>0</v>
      </c>
    </row>
    <row r="201" spans="1:35" x14ac:dyDescent="0.25">
      <c r="A201">
        <v>2025</v>
      </c>
      <c r="B201" t="s">
        <v>89</v>
      </c>
      <c r="C201" t="s">
        <v>90</v>
      </c>
      <c r="D201" t="str" cm="1">
        <f t="array" ref="D201">_xlfn.XLOOKUP(1,('26 WR'!A:A=E201)*('26 WR'!B:B=F201),'26 WR'!C:C)</f>
        <v>Jaylen Waddle</v>
      </c>
      <c r="E201" t="s">
        <v>20</v>
      </c>
      <c r="F201">
        <v>20</v>
      </c>
      <c r="G201">
        <f>VLOOKUP(B201,[2]FantasyPros_2025_Overall_ADP_Ra!$B$2:$E$416,4,FALSE)</f>
        <v>43</v>
      </c>
      <c r="H201">
        <v>22.5</v>
      </c>
      <c r="I201">
        <v>9</v>
      </c>
      <c r="J201">
        <v>24.4</v>
      </c>
      <c r="K201">
        <v>20.2</v>
      </c>
      <c r="L201">
        <v>19.100000000000001</v>
      </c>
      <c r="M201">
        <v>4.3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99.5</v>
      </c>
      <c r="W201">
        <v>14.2</v>
      </c>
      <c r="X201">
        <v>4</v>
      </c>
      <c r="Y201">
        <v>1</v>
      </c>
      <c r="Z201">
        <v>4</v>
      </c>
      <c r="AA201">
        <v>4</v>
      </c>
      <c r="AB201">
        <v>3</v>
      </c>
      <c r="AC201">
        <v>0</v>
      </c>
      <c r="AD201">
        <v>0</v>
      </c>
      <c r="AE201">
        <v>0.23529411764705882</v>
      </c>
      <c r="AF201">
        <v>0.5714285714285714</v>
      </c>
      <c r="AG201">
        <v>0.42857142857142855</v>
      </c>
      <c r="AH201">
        <v>0</v>
      </c>
      <c r="AI201">
        <v>0</v>
      </c>
    </row>
    <row r="202" spans="1:35" x14ac:dyDescent="0.25">
      <c r="A202">
        <v>2025</v>
      </c>
      <c r="B202" t="s">
        <v>91</v>
      </c>
      <c r="C202" t="s">
        <v>92</v>
      </c>
      <c r="D202" t="str" cm="1">
        <f t="array" ref="D202">_xlfn.XLOOKUP(1,('26 WR'!A:A=E202)*('26 WR'!B:B=F202),'26 WR'!C:C)</f>
        <v>Emeka Egbuka</v>
      </c>
      <c r="E202" t="s">
        <v>20</v>
      </c>
      <c r="F202">
        <v>21</v>
      </c>
      <c r="G202">
        <f>VLOOKUP(B202,[2]FantasyPros_2025_Overall_ADP_Ra!$B$2:$E$416,4,FALSE)</f>
        <v>44</v>
      </c>
      <c r="H202">
        <v>11.8</v>
      </c>
      <c r="I202">
        <v>16</v>
      </c>
      <c r="J202">
        <v>7.8</v>
      </c>
      <c r="K202">
        <v>10.199999999999999</v>
      </c>
      <c r="L202">
        <v>13.3</v>
      </c>
      <c r="M202">
        <v>17.899999999999999</v>
      </c>
      <c r="N202">
        <v>6.3</v>
      </c>
      <c r="O202">
        <v>16.899999999999999</v>
      </c>
      <c r="P202">
        <v>8.6</v>
      </c>
      <c r="Q202">
        <v>11</v>
      </c>
      <c r="R202">
        <v>33</v>
      </c>
      <c r="S202">
        <v>11.5</v>
      </c>
      <c r="T202">
        <v>11.3</v>
      </c>
      <c r="U202">
        <v>0</v>
      </c>
      <c r="V202">
        <v>211.4</v>
      </c>
      <c r="W202">
        <v>12.4</v>
      </c>
      <c r="X202">
        <v>4</v>
      </c>
      <c r="Y202">
        <v>1</v>
      </c>
      <c r="Z202">
        <v>12</v>
      </c>
      <c r="AA202">
        <v>5</v>
      </c>
      <c r="AB202">
        <v>1</v>
      </c>
      <c r="AC202">
        <v>1</v>
      </c>
      <c r="AD202">
        <v>1</v>
      </c>
      <c r="AE202">
        <v>0.70588235294117652</v>
      </c>
      <c r="AF202">
        <v>0.29411764705882354</v>
      </c>
      <c r="AG202">
        <v>5.8823529411764705E-2</v>
      </c>
      <c r="AH202">
        <v>5.8823529411764705E-2</v>
      </c>
      <c r="AI202">
        <v>5.8823529411764705E-2</v>
      </c>
    </row>
    <row r="203" spans="1:35" x14ac:dyDescent="0.25">
      <c r="A203">
        <v>2025</v>
      </c>
      <c r="B203" t="s">
        <v>97</v>
      </c>
      <c r="C203" t="s">
        <v>98</v>
      </c>
      <c r="D203" t="str" cm="1">
        <f t="array" ref="D203">_xlfn.XLOOKUP(1,('26 WR'!A:A=E203)*('26 WR'!B:B=F203),'26 WR'!C:C)</f>
        <v>Terry McLaurin</v>
      </c>
      <c r="E203" t="s">
        <v>20</v>
      </c>
      <c r="F203">
        <v>22</v>
      </c>
      <c r="G203">
        <f>VLOOKUP(B203,[2]FantasyPros_2025_Overall_ADP_Ra!$B$2:$E$416,4,FALSE)</f>
        <v>47</v>
      </c>
      <c r="H203">
        <v>18.100000000000001</v>
      </c>
      <c r="I203">
        <v>1.6</v>
      </c>
      <c r="J203">
        <v>23.8</v>
      </c>
      <c r="K203">
        <v>19.100000000000001</v>
      </c>
      <c r="L203">
        <v>17.899999999999999</v>
      </c>
      <c r="M203">
        <v>2.7</v>
      </c>
      <c r="N203">
        <v>16.7</v>
      </c>
      <c r="O203">
        <v>10.7</v>
      </c>
      <c r="P203">
        <v>10</v>
      </c>
      <c r="Q203">
        <v>5.4</v>
      </c>
      <c r="R203">
        <v>9.9</v>
      </c>
      <c r="S203">
        <v>0</v>
      </c>
      <c r="T203">
        <v>17.2</v>
      </c>
      <c r="U203">
        <v>12.2</v>
      </c>
      <c r="V203">
        <v>219.7</v>
      </c>
      <c r="W203">
        <v>12.9</v>
      </c>
      <c r="X203">
        <v>4</v>
      </c>
      <c r="Y203">
        <v>1</v>
      </c>
      <c r="Z203">
        <v>10</v>
      </c>
      <c r="AA203">
        <v>8</v>
      </c>
      <c r="AB203">
        <v>3</v>
      </c>
      <c r="AC203">
        <v>0</v>
      </c>
      <c r="AD203">
        <v>0</v>
      </c>
      <c r="AE203">
        <v>0.58823529411764708</v>
      </c>
      <c r="AF203">
        <v>0.47058823529411764</v>
      </c>
      <c r="AG203">
        <v>0.17647058823529413</v>
      </c>
      <c r="AH203">
        <v>0</v>
      </c>
      <c r="AI203">
        <v>0</v>
      </c>
    </row>
    <row r="204" spans="1:35" x14ac:dyDescent="0.25">
      <c r="A204">
        <v>2025</v>
      </c>
      <c r="B204" t="s">
        <v>99</v>
      </c>
      <c r="C204" t="s">
        <v>35</v>
      </c>
      <c r="D204" t="str" cm="1">
        <f t="array" ref="D204">_xlfn.XLOOKUP(1,('26 WR'!A:A=E204)*('26 WR'!B:B=F204),'26 WR'!C:C)</f>
        <v>Luther Burden III</v>
      </c>
      <c r="E204" t="s">
        <v>20</v>
      </c>
      <c r="F204">
        <v>23</v>
      </c>
      <c r="G204">
        <f>VLOOKUP(B204,[2]FantasyPros_2025_Overall_ADP_Ra!$B$2:$E$416,4,FALSE)</f>
        <v>48</v>
      </c>
      <c r="H204">
        <v>6</v>
      </c>
      <c r="I204">
        <v>17.8</v>
      </c>
      <c r="J204">
        <v>17.8</v>
      </c>
      <c r="K204">
        <v>33.4</v>
      </c>
      <c r="L204">
        <v>13.7</v>
      </c>
      <c r="M204">
        <v>31.8</v>
      </c>
      <c r="N204">
        <v>12.2</v>
      </c>
      <c r="O204">
        <v>14.8</v>
      </c>
      <c r="P204">
        <v>13.9</v>
      </c>
      <c r="Q204">
        <v>0</v>
      </c>
      <c r="R204">
        <v>29.4</v>
      </c>
      <c r="S204">
        <v>29.6</v>
      </c>
      <c r="T204">
        <v>16.8</v>
      </c>
      <c r="U204">
        <v>8.6999999999999993</v>
      </c>
      <c r="V204">
        <v>291.89999999999998</v>
      </c>
      <c r="W204">
        <v>17.2</v>
      </c>
      <c r="X204">
        <v>4</v>
      </c>
      <c r="Y204">
        <v>1</v>
      </c>
      <c r="Z204">
        <v>13</v>
      </c>
      <c r="AA204">
        <v>8</v>
      </c>
      <c r="AB204">
        <v>5</v>
      </c>
      <c r="AC204">
        <v>5</v>
      </c>
      <c r="AD204">
        <v>2</v>
      </c>
      <c r="AE204">
        <v>0.76470588235294112</v>
      </c>
      <c r="AF204">
        <v>0.47058823529411764</v>
      </c>
      <c r="AG204">
        <v>0.29411764705882354</v>
      </c>
      <c r="AH204">
        <v>0.29411764705882354</v>
      </c>
      <c r="AI204">
        <v>0.11764705882352941</v>
      </c>
    </row>
    <row r="205" spans="1:35" x14ac:dyDescent="0.25">
      <c r="A205">
        <v>2025</v>
      </c>
      <c r="B205" t="s">
        <v>101</v>
      </c>
      <c r="C205" t="s">
        <v>37</v>
      </c>
      <c r="D205" t="str" cm="1">
        <f t="array" ref="D205">_xlfn.XLOOKUP(1,('26 WR'!A:A=E205)*('26 WR'!B:B=F205),'26 WR'!C:C)</f>
        <v>Davante Adams</v>
      </c>
      <c r="E205" t="s">
        <v>20</v>
      </c>
      <c r="F205">
        <v>24</v>
      </c>
      <c r="G205">
        <f>VLOOKUP(B205,[2]FantasyPros_2025_Overall_ADP_Ra!$B$2:$E$416,4,FALSE)</f>
        <v>49</v>
      </c>
      <c r="H205">
        <v>6.6</v>
      </c>
      <c r="I205">
        <v>18.8</v>
      </c>
      <c r="J205">
        <v>6.3</v>
      </c>
      <c r="K205">
        <v>5.7</v>
      </c>
      <c r="L205">
        <v>2</v>
      </c>
      <c r="M205">
        <v>18.600000000000001</v>
      </c>
      <c r="N205">
        <v>0</v>
      </c>
      <c r="O205">
        <v>0</v>
      </c>
      <c r="P205">
        <v>16.600000000000001</v>
      </c>
      <c r="Q205">
        <v>23.9</v>
      </c>
      <c r="R205">
        <v>19.7</v>
      </c>
      <c r="S205">
        <v>0</v>
      </c>
      <c r="T205">
        <v>26.9</v>
      </c>
      <c r="U205">
        <v>17.3</v>
      </c>
      <c r="V205">
        <v>219.9</v>
      </c>
      <c r="W205">
        <v>12.9</v>
      </c>
      <c r="X205">
        <v>5</v>
      </c>
      <c r="Y205">
        <v>1</v>
      </c>
      <c r="Z205">
        <v>10</v>
      </c>
      <c r="AA205">
        <v>8</v>
      </c>
      <c r="AB205">
        <v>3</v>
      </c>
      <c r="AC205">
        <v>2</v>
      </c>
      <c r="AD205">
        <v>0</v>
      </c>
      <c r="AE205">
        <v>0.58823529411764708</v>
      </c>
      <c r="AF205">
        <v>0.47058823529411764</v>
      </c>
      <c r="AG205">
        <v>0.17647058823529413</v>
      </c>
      <c r="AH205">
        <v>0.11764705882352941</v>
      </c>
      <c r="AI205">
        <v>0</v>
      </c>
    </row>
    <row r="206" spans="1:35" x14ac:dyDescent="0.25">
      <c r="A206">
        <v>2025</v>
      </c>
      <c r="B206" t="s">
        <v>102</v>
      </c>
      <c r="C206" t="s">
        <v>57</v>
      </c>
      <c r="D206" t="str" cm="1">
        <f t="array" ref="D206">_xlfn.XLOOKUP(1,('26 WR'!A:A=E206)*('26 WR'!B:B=F206),'26 WR'!C:C)</f>
        <v>Mike Evans</v>
      </c>
      <c r="E206" t="s">
        <v>20</v>
      </c>
      <c r="F206">
        <v>25</v>
      </c>
      <c r="G206">
        <f>VLOOKUP(B206,[2]FantasyPros_2025_Overall_ADP_Ra!$B$2:$E$416,4,FALSE)</f>
        <v>50</v>
      </c>
      <c r="H206">
        <v>23.6</v>
      </c>
      <c r="I206">
        <v>12.9</v>
      </c>
      <c r="J206">
        <v>14.5</v>
      </c>
      <c r="K206">
        <v>20.100000000000001</v>
      </c>
      <c r="L206">
        <v>31.3</v>
      </c>
      <c r="M206">
        <v>4.4000000000000004</v>
      </c>
      <c r="N206">
        <v>9.8000000000000007</v>
      </c>
      <c r="O206">
        <v>6.5</v>
      </c>
      <c r="P206">
        <v>0</v>
      </c>
      <c r="Q206">
        <v>23.5</v>
      </c>
      <c r="R206">
        <v>9</v>
      </c>
      <c r="S206">
        <v>6.2</v>
      </c>
      <c r="T206">
        <v>8.1999999999999993</v>
      </c>
      <c r="U206">
        <v>3.5</v>
      </c>
      <c r="V206">
        <v>195.7</v>
      </c>
      <c r="W206">
        <v>11.5</v>
      </c>
      <c r="X206">
        <v>5</v>
      </c>
      <c r="Y206">
        <v>1</v>
      </c>
      <c r="Z206">
        <v>7</v>
      </c>
      <c r="AA206">
        <v>4</v>
      </c>
      <c r="AB206">
        <v>4</v>
      </c>
      <c r="AC206">
        <v>1</v>
      </c>
      <c r="AD206">
        <v>1</v>
      </c>
      <c r="AE206">
        <v>0.41176470588235292</v>
      </c>
      <c r="AF206">
        <v>0.23529411764705882</v>
      </c>
      <c r="AG206">
        <v>0.23529411764705882</v>
      </c>
      <c r="AH206">
        <v>5.8823529411764705E-2</v>
      </c>
      <c r="AI206">
        <v>5.8823529411764705E-2</v>
      </c>
    </row>
    <row r="207" spans="1:35" x14ac:dyDescent="0.25">
      <c r="A207">
        <v>2025</v>
      </c>
      <c r="B207" t="s">
        <v>107</v>
      </c>
      <c r="C207" t="s">
        <v>108</v>
      </c>
      <c r="D207" t="str" cm="1">
        <f t="array" ref="D207">_xlfn.XLOOKUP(1,('26 WR'!A:A=E207)*('26 WR'!B:B=F207),'26 WR'!C:C)</f>
        <v>DJ Moore</v>
      </c>
      <c r="E207" t="s">
        <v>20</v>
      </c>
      <c r="F207">
        <v>26</v>
      </c>
      <c r="G207">
        <f>VLOOKUP(B207,[2]FantasyPros_2025_Overall_ADP_Ra!$B$2:$E$416,4,FALSE)</f>
        <v>53</v>
      </c>
      <c r="H207">
        <v>12.3</v>
      </c>
      <c r="I207">
        <v>11</v>
      </c>
      <c r="J207">
        <v>12.2</v>
      </c>
      <c r="K207">
        <v>23.6</v>
      </c>
      <c r="L207">
        <v>0</v>
      </c>
      <c r="M207">
        <v>19.5</v>
      </c>
      <c r="N207">
        <v>8</v>
      </c>
      <c r="O207">
        <v>16.5</v>
      </c>
      <c r="P207">
        <v>2.6</v>
      </c>
      <c r="Q207">
        <v>6.5</v>
      </c>
      <c r="R207">
        <v>9.9</v>
      </c>
      <c r="S207">
        <v>14.4</v>
      </c>
      <c r="T207">
        <v>6.2</v>
      </c>
      <c r="U207">
        <v>21.8</v>
      </c>
      <c r="V207">
        <v>187.2</v>
      </c>
      <c r="W207">
        <v>12.5</v>
      </c>
      <c r="X207">
        <v>5</v>
      </c>
      <c r="Y207">
        <v>1</v>
      </c>
      <c r="Z207">
        <v>9</v>
      </c>
      <c r="AA207">
        <v>4</v>
      </c>
      <c r="AB207">
        <v>2</v>
      </c>
      <c r="AC207">
        <v>0</v>
      </c>
      <c r="AD207">
        <v>0</v>
      </c>
      <c r="AE207">
        <v>0.52941176470588236</v>
      </c>
      <c r="AF207">
        <v>0.26666666666666666</v>
      </c>
      <c r="AG207">
        <v>0.13333333333333333</v>
      </c>
      <c r="AH207">
        <v>0</v>
      </c>
      <c r="AI207">
        <v>0</v>
      </c>
    </row>
    <row r="208" spans="1:35" x14ac:dyDescent="0.25">
      <c r="A208">
        <v>2025</v>
      </c>
      <c r="B208" t="s">
        <v>109</v>
      </c>
      <c r="C208" t="s">
        <v>110</v>
      </c>
      <c r="D208" t="str" cm="1">
        <f t="array" ref="D208">_xlfn.XLOOKUP(1,('26 WR'!A:A=E208)*('26 WR'!B:B=F208),'26 WR'!C:C)</f>
        <v>Jameson Williams</v>
      </c>
      <c r="E208" t="s">
        <v>20</v>
      </c>
      <c r="F208">
        <v>27</v>
      </c>
      <c r="G208">
        <f>VLOOKUP(B208,[2]FantasyPros_2025_Overall_ADP_Ra!$B$2:$E$416,4,FALSE)</f>
        <v>54</v>
      </c>
      <c r="H208">
        <v>8.6</v>
      </c>
      <c r="I208">
        <v>9.6</v>
      </c>
      <c r="J208">
        <v>12.8</v>
      </c>
      <c r="K208">
        <v>7.8</v>
      </c>
      <c r="L208">
        <v>0</v>
      </c>
      <c r="M208">
        <v>8.1999999999999993</v>
      </c>
      <c r="N208">
        <v>8.1999999999999993</v>
      </c>
      <c r="O208">
        <v>11.6</v>
      </c>
      <c r="P208">
        <v>23</v>
      </c>
      <c r="Q208">
        <v>0</v>
      </c>
      <c r="R208">
        <v>3.1</v>
      </c>
      <c r="S208">
        <v>23.4</v>
      </c>
      <c r="T208">
        <v>4.7</v>
      </c>
      <c r="U208">
        <v>0.6</v>
      </c>
      <c r="V208">
        <v>170.2</v>
      </c>
      <c r="W208">
        <v>10</v>
      </c>
      <c r="X208">
        <v>5</v>
      </c>
      <c r="Y208">
        <v>1</v>
      </c>
      <c r="Z208">
        <v>6</v>
      </c>
      <c r="AA208">
        <v>4</v>
      </c>
      <c r="AB208">
        <v>4</v>
      </c>
      <c r="AC208">
        <v>0</v>
      </c>
      <c r="AD208">
        <v>0</v>
      </c>
      <c r="AE208">
        <v>0.35294117647058826</v>
      </c>
      <c r="AF208">
        <v>0.23529411764705882</v>
      </c>
      <c r="AG208">
        <v>0.23529411764705882</v>
      </c>
      <c r="AH208">
        <v>0</v>
      </c>
      <c r="AI208">
        <v>0</v>
      </c>
    </row>
    <row r="209" spans="1:35" x14ac:dyDescent="0.25">
      <c r="A209">
        <v>2025</v>
      </c>
      <c r="B209" t="s">
        <v>111</v>
      </c>
      <c r="C209" t="s">
        <v>26</v>
      </c>
      <c r="D209" t="str" cm="1">
        <f t="array" ref="D209">_xlfn.XLOOKUP(1,('26 WR'!A:A=E209)*('26 WR'!B:B=F209),'26 WR'!C:C)</f>
        <v>Christian Watson</v>
      </c>
      <c r="E209" t="s">
        <v>20</v>
      </c>
      <c r="F209">
        <v>28</v>
      </c>
      <c r="G209">
        <f>VLOOKUP(B209,[2]FantasyPros_2025_Overall_ADP_Ra!$B$2:$E$416,4,FALSE)</f>
        <v>55</v>
      </c>
      <c r="H209">
        <v>14.8</v>
      </c>
      <c r="I209">
        <v>9.1999999999999993</v>
      </c>
      <c r="J209">
        <v>19.7</v>
      </c>
      <c r="K209">
        <v>8.6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2.8</v>
      </c>
      <c r="T209">
        <v>3.4</v>
      </c>
      <c r="U209">
        <v>0</v>
      </c>
      <c r="V209">
        <v>88.6</v>
      </c>
      <c r="W209">
        <v>8.9</v>
      </c>
      <c r="X209">
        <v>5</v>
      </c>
      <c r="Y209">
        <v>1</v>
      </c>
      <c r="Z209">
        <v>4</v>
      </c>
      <c r="AA209">
        <v>2</v>
      </c>
      <c r="AB209">
        <v>0</v>
      </c>
      <c r="AC209">
        <v>0</v>
      </c>
      <c r="AD209">
        <v>0</v>
      </c>
      <c r="AE209">
        <v>0.23529411764705882</v>
      </c>
      <c r="AF209">
        <v>0.2</v>
      </c>
      <c r="AG209">
        <v>0</v>
      </c>
      <c r="AH209">
        <v>0</v>
      </c>
      <c r="AI209">
        <v>0</v>
      </c>
    </row>
    <row r="210" spans="1:35" x14ac:dyDescent="0.25">
      <c r="A210">
        <v>2025</v>
      </c>
      <c r="B210" t="s">
        <v>113</v>
      </c>
      <c r="C210" t="s">
        <v>114</v>
      </c>
      <c r="D210" t="str" cm="1">
        <f t="array" ref="D210">_xlfn.XLOOKUP(1,('26 WR'!A:A=E210)*('26 WR'!B:B=F210),'26 WR'!C:C)</f>
        <v>Rome Odunze</v>
      </c>
      <c r="E210" t="s">
        <v>20</v>
      </c>
      <c r="F210">
        <v>29</v>
      </c>
      <c r="G210">
        <f>VLOOKUP(B210,[2]FantasyPros_2025_Overall_ADP_Ra!$B$2:$E$416,4,FALSE)</f>
        <v>57</v>
      </c>
      <c r="H210">
        <v>6.7</v>
      </c>
      <c r="I210">
        <v>8.6999999999999993</v>
      </c>
      <c r="J210">
        <v>3.7</v>
      </c>
      <c r="K210">
        <v>5</v>
      </c>
      <c r="L210">
        <v>18.100000000000001</v>
      </c>
      <c r="M210">
        <v>2.8</v>
      </c>
      <c r="N210">
        <v>0</v>
      </c>
      <c r="O210">
        <v>0</v>
      </c>
      <c r="P210">
        <v>0</v>
      </c>
      <c r="Q210">
        <v>0</v>
      </c>
      <c r="R210">
        <v>2.2999999999999998</v>
      </c>
      <c r="S210">
        <v>0</v>
      </c>
      <c r="T210">
        <v>0</v>
      </c>
      <c r="U210">
        <v>0</v>
      </c>
      <c r="V210">
        <v>47.3</v>
      </c>
      <c r="W210">
        <v>6.8</v>
      </c>
      <c r="X210">
        <v>20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5.8823529411764705E-2</v>
      </c>
      <c r="AF210">
        <v>0.14285714285714285</v>
      </c>
      <c r="AG210">
        <v>0</v>
      </c>
      <c r="AH210">
        <v>0</v>
      </c>
      <c r="AI210">
        <v>0</v>
      </c>
    </row>
    <row r="211" spans="1:35" x14ac:dyDescent="0.25">
      <c r="A211">
        <v>2025</v>
      </c>
      <c r="B211" t="s">
        <v>115</v>
      </c>
      <c r="C211" t="s">
        <v>33</v>
      </c>
      <c r="D211" t="str" cm="1">
        <f t="array" ref="D211">_xlfn.XLOOKUP(1,('26 WR'!A:A=E211)*('26 WR'!B:B=F211),'26 WR'!C:C)</f>
        <v>Carnell Tate</v>
      </c>
      <c r="E211" t="s">
        <v>20</v>
      </c>
      <c r="F211">
        <v>30</v>
      </c>
      <c r="G211">
        <f>VLOOKUP(B211,[2]FantasyPros_2025_Overall_ADP_Ra!$B$2:$E$416,4,FALSE)</f>
        <v>58</v>
      </c>
      <c r="H211">
        <v>4.5999999999999996</v>
      </c>
      <c r="I211">
        <v>9.3000000000000007</v>
      </c>
      <c r="J211">
        <v>20</v>
      </c>
      <c r="K211">
        <v>4.9000000000000004</v>
      </c>
      <c r="L211">
        <v>19.399999999999999</v>
      </c>
      <c r="M211">
        <v>8.9</v>
      </c>
      <c r="N211">
        <v>33.299999999999997</v>
      </c>
      <c r="O211">
        <v>14.4</v>
      </c>
      <c r="P211">
        <v>0</v>
      </c>
      <c r="Q211">
        <v>16.899999999999999</v>
      </c>
      <c r="R211">
        <v>1.8</v>
      </c>
      <c r="S211">
        <v>14.9</v>
      </c>
      <c r="T211">
        <v>9.8000000000000007</v>
      </c>
      <c r="U211">
        <v>7.7</v>
      </c>
      <c r="V211">
        <v>201.8</v>
      </c>
      <c r="W211">
        <v>11.9</v>
      </c>
      <c r="X211">
        <v>5</v>
      </c>
      <c r="Y211">
        <v>1</v>
      </c>
      <c r="Z211">
        <v>7</v>
      </c>
      <c r="AA211">
        <v>5</v>
      </c>
      <c r="AB211">
        <v>1</v>
      </c>
      <c r="AC211">
        <v>1</v>
      </c>
      <c r="AD211">
        <v>1</v>
      </c>
      <c r="AE211">
        <v>0.41176470588235292</v>
      </c>
      <c r="AF211">
        <v>0.29411764705882354</v>
      </c>
      <c r="AG211">
        <v>5.8823529411764705E-2</v>
      </c>
      <c r="AH211">
        <v>5.8823529411764705E-2</v>
      </c>
      <c r="AI211">
        <v>5.8823529411764705E-2</v>
      </c>
    </row>
    <row r="212" spans="1:35" x14ac:dyDescent="0.25">
      <c r="A212">
        <v>2025</v>
      </c>
      <c r="B212" t="s">
        <v>118</v>
      </c>
      <c r="C212" t="s">
        <v>41</v>
      </c>
      <c r="D212" t="str" cm="1">
        <f t="array" ref="D212">_xlfn.XLOOKUP(1,('26 WR'!A:A=E212)*('26 WR'!B:B=F212),'26 WR'!C:C)</f>
        <v>Marvin Harrison Jr.</v>
      </c>
      <c r="E212" t="s">
        <v>20</v>
      </c>
      <c r="F212">
        <v>31</v>
      </c>
      <c r="G212">
        <f>VLOOKUP(B212,[2]FantasyPros_2025_Overall_ADP_Ra!$B$2:$E$416,4,FALSE)</f>
        <v>61</v>
      </c>
      <c r="H212">
        <v>28.1</v>
      </c>
      <c r="I212">
        <v>14.9</v>
      </c>
      <c r="J212">
        <v>3.3</v>
      </c>
      <c r="K212">
        <v>14.4</v>
      </c>
      <c r="L212">
        <v>12.2</v>
      </c>
      <c r="M212">
        <v>8.6</v>
      </c>
      <c r="N212">
        <v>0</v>
      </c>
      <c r="O212">
        <v>14.1</v>
      </c>
      <c r="P212">
        <v>11.4</v>
      </c>
      <c r="Q212">
        <v>12.1</v>
      </c>
      <c r="R212">
        <v>11.3</v>
      </c>
      <c r="S212">
        <v>11.9</v>
      </c>
      <c r="T212">
        <v>0.6</v>
      </c>
      <c r="U212">
        <v>20.6</v>
      </c>
      <c r="V212">
        <v>243.3</v>
      </c>
      <c r="W212">
        <v>14.3</v>
      </c>
      <c r="X212">
        <v>6</v>
      </c>
      <c r="Y212">
        <v>1</v>
      </c>
      <c r="Z212">
        <v>14</v>
      </c>
      <c r="AA212">
        <v>5</v>
      </c>
      <c r="AB212">
        <v>4</v>
      </c>
      <c r="AC212">
        <v>2</v>
      </c>
      <c r="AD212">
        <v>0</v>
      </c>
      <c r="AE212">
        <v>0.82352941176470584</v>
      </c>
      <c r="AF212">
        <v>0.29411764705882354</v>
      </c>
      <c r="AG212">
        <v>0.23529411764705882</v>
      </c>
      <c r="AH212">
        <v>0.11764705882352941</v>
      </c>
      <c r="AI212">
        <v>0</v>
      </c>
    </row>
    <row r="213" spans="1:35" x14ac:dyDescent="0.25">
      <c r="A213">
        <v>2025</v>
      </c>
      <c r="B213" t="s">
        <v>119</v>
      </c>
      <c r="C213" t="s">
        <v>59</v>
      </c>
      <c r="D213" t="str" cm="1">
        <f t="array" ref="D213">_xlfn.XLOOKUP(1,('26 WR'!A:A=E213)*('26 WR'!B:B=F213),'26 WR'!C:C)</f>
        <v>Alec Pierce</v>
      </c>
      <c r="E213" t="s">
        <v>20</v>
      </c>
      <c r="F213">
        <v>32</v>
      </c>
      <c r="G213">
        <f>VLOOKUP(B213,[2]FantasyPros_2025_Overall_ADP_Ra!$B$2:$E$416,4,FALSE)</f>
        <v>62</v>
      </c>
      <c r="H213">
        <v>7</v>
      </c>
      <c r="I213">
        <v>17.8</v>
      </c>
      <c r="J213">
        <v>14.9</v>
      </c>
      <c r="K213">
        <v>7.8</v>
      </c>
      <c r="L213">
        <v>23</v>
      </c>
      <c r="M213">
        <v>15.8</v>
      </c>
      <c r="N213">
        <v>2.5</v>
      </c>
      <c r="O213">
        <v>20.9</v>
      </c>
      <c r="P213">
        <v>14.2</v>
      </c>
      <c r="Q213">
        <v>19.399999999999999</v>
      </c>
      <c r="R213">
        <v>8.1999999999999993</v>
      </c>
      <c r="S213">
        <v>0</v>
      </c>
      <c r="T213">
        <v>7</v>
      </c>
      <c r="U213">
        <v>18.100000000000001</v>
      </c>
      <c r="V213">
        <v>194.1</v>
      </c>
      <c r="W213">
        <v>12.1</v>
      </c>
      <c r="X213">
        <v>6</v>
      </c>
      <c r="Y213">
        <v>1</v>
      </c>
      <c r="Z213">
        <v>9</v>
      </c>
      <c r="AA213">
        <v>6</v>
      </c>
      <c r="AB213">
        <v>2</v>
      </c>
      <c r="AC213">
        <v>0</v>
      </c>
      <c r="AD213">
        <v>0</v>
      </c>
      <c r="AE213">
        <v>0.52941176470588236</v>
      </c>
      <c r="AF213">
        <v>0.375</v>
      </c>
      <c r="AG213">
        <v>0.125</v>
      </c>
      <c r="AH213">
        <v>0</v>
      </c>
      <c r="AI213">
        <v>0</v>
      </c>
    </row>
    <row r="214" spans="1:35" x14ac:dyDescent="0.25">
      <c r="A214">
        <v>2025</v>
      </c>
      <c r="B214" t="s">
        <v>121</v>
      </c>
      <c r="C214" t="s">
        <v>61</v>
      </c>
      <c r="D214" t="str" cm="1">
        <f t="array" ref="D214">_xlfn.XLOOKUP(1,('26 WR'!A:A=E214)*('26 WR'!B:B=F214),'26 WR'!C:C)</f>
        <v>Courtland Sutton</v>
      </c>
      <c r="E214" t="s">
        <v>20</v>
      </c>
      <c r="F214">
        <v>33</v>
      </c>
      <c r="G214">
        <f>VLOOKUP(B214,[2]FantasyPros_2025_Overall_ADP_Ra!$B$2:$E$416,4,FALSE)</f>
        <v>64</v>
      </c>
      <c r="H214">
        <v>3.6</v>
      </c>
      <c r="I214">
        <v>1.5</v>
      </c>
      <c r="J214">
        <v>10.1</v>
      </c>
      <c r="K214">
        <v>11.3</v>
      </c>
      <c r="L214">
        <v>0</v>
      </c>
      <c r="M214">
        <v>13.2</v>
      </c>
      <c r="N214">
        <v>7.7</v>
      </c>
      <c r="O214">
        <v>3.4</v>
      </c>
      <c r="P214">
        <v>2.9</v>
      </c>
      <c r="Q214">
        <v>0</v>
      </c>
      <c r="R214">
        <v>3.4</v>
      </c>
      <c r="S214">
        <v>0</v>
      </c>
      <c r="T214">
        <v>0</v>
      </c>
      <c r="U214">
        <v>0</v>
      </c>
      <c r="V214">
        <v>70</v>
      </c>
      <c r="W214">
        <v>5</v>
      </c>
      <c r="X214">
        <v>6</v>
      </c>
      <c r="Y214">
        <v>1</v>
      </c>
      <c r="Z214">
        <v>3</v>
      </c>
      <c r="AA214">
        <v>0</v>
      </c>
      <c r="AB214">
        <v>0</v>
      </c>
      <c r="AC214">
        <v>0</v>
      </c>
      <c r="AD214">
        <v>0</v>
      </c>
      <c r="AE214">
        <v>0.17647058823529413</v>
      </c>
      <c r="AF214">
        <v>0</v>
      </c>
      <c r="AG214">
        <v>0</v>
      </c>
      <c r="AH214">
        <v>0</v>
      </c>
      <c r="AI214">
        <v>0</v>
      </c>
    </row>
    <row r="215" spans="1:35" x14ac:dyDescent="0.25">
      <c r="A215">
        <v>2025</v>
      </c>
      <c r="B215" t="s">
        <v>123</v>
      </c>
      <c r="C215" t="s">
        <v>51</v>
      </c>
      <c r="D215" t="str" cm="1">
        <f t="array" ref="D215">_xlfn.XLOOKUP(1,('26 WR'!A:A=E215)*('26 WR'!B:B=F215),'26 WR'!C:C)</f>
        <v>DK Metcalf</v>
      </c>
      <c r="E215" t="s">
        <v>20</v>
      </c>
      <c r="F215">
        <v>34</v>
      </c>
      <c r="G215">
        <f>VLOOKUP(B215,[2]FantasyPros_2025_Overall_ADP_Ra!$B$2:$E$416,4,FALSE)</f>
        <v>66</v>
      </c>
      <c r="H215">
        <v>9.3000000000000007</v>
      </c>
      <c r="I215">
        <v>5.2</v>
      </c>
      <c r="J215">
        <v>3.1</v>
      </c>
      <c r="K215">
        <v>7.2</v>
      </c>
      <c r="L215">
        <v>9.4</v>
      </c>
      <c r="M215">
        <v>5.5</v>
      </c>
      <c r="N215">
        <v>24.1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63.8</v>
      </c>
      <c r="W215">
        <v>9.1</v>
      </c>
      <c r="X215">
        <v>6</v>
      </c>
      <c r="Y215">
        <v>1</v>
      </c>
      <c r="Z215">
        <v>1</v>
      </c>
      <c r="AA215">
        <v>1</v>
      </c>
      <c r="AB215">
        <v>1</v>
      </c>
      <c r="AC215">
        <v>0</v>
      </c>
      <c r="AD215">
        <v>0</v>
      </c>
      <c r="AE215">
        <v>5.8823529411764705E-2</v>
      </c>
      <c r="AF215">
        <v>0.14285714285714285</v>
      </c>
      <c r="AG215">
        <v>0.14285714285714285</v>
      </c>
      <c r="AH215">
        <v>0</v>
      </c>
      <c r="AI215">
        <v>0</v>
      </c>
    </row>
    <row r="216" spans="1:35" x14ac:dyDescent="0.25">
      <c r="A216">
        <v>2025</v>
      </c>
      <c r="B216" t="s">
        <v>124</v>
      </c>
      <c r="C216" t="s">
        <v>80</v>
      </c>
      <c r="D216" t="str" cm="1">
        <f t="array" ref="D216">_xlfn.XLOOKUP(1,('26 WR'!A:A=E216)*('26 WR'!B:B=F216),'26 WR'!C:C)</f>
        <v>Chris Godwin Jr.</v>
      </c>
      <c r="E216" t="s">
        <v>20</v>
      </c>
      <c r="F216">
        <v>35</v>
      </c>
      <c r="G216">
        <f>VLOOKUP(B216,[2]FantasyPros_2025_Overall_ADP_Ra!$B$2:$E$416,4,FALSE)</f>
        <v>68</v>
      </c>
      <c r="H216">
        <v>22.6</v>
      </c>
      <c r="I216">
        <v>17.399999999999999</v>
      </c>
      <c r="J216">
        <v>4.9000000000000004</v>
      </c>
      <c r="K216">
        <v>20.100000000000001</v>
      </c>
      <c r="L216">
        <v>23.6</v>
      </c>
      <c r="M216">
        <v>5.4</v>
      </c>
      <c r="N216">
        <v>0</v>
      </c>
      <c r="O216">
        <v>4.2</v>
      </c>
      <c r="P216">
        <v>9.4</v>
      </c>
      <c r="Q216">
        <v>12.9</v>
      </c>
      <c r="R216">
        <v>20.7</v>
      </c>
      <c r="S216">
        <v>0</v>
      </c>
      <c r="T216">
        <v>11.1</v>
      </c>
      <c r="U216">
        <v>6.7</v>
      </c>
      <c r="V216">
        <v>188.2</v>
      </c>
      <c r="W216">
        <v>11.8</v>
      </c>
      <c r="X216">
        <v>6</v>
      </c>
      <c r="Y216">
        <v>1</v>
      </c>
      <c r="Z216">
        <v>8</v>
      </c>
      <c r="AA216">
        <v>5</v>
      </c>
      <c r="AB216">
        <v>4</v>
      </c>
      <c r="AC216">
        <v>0</v>
      </c>
      <c r="AD216">
        <v>0</v>
      </c>
      <c r="AE216">
        <v>0.47058823529411764</v>
      </c>
      <c r="AF216">
        <v>0.3125</v>
      </c>
      <c r="AG216">
        <v>0.25</v>
      </c>
      <c r="AH216">
        <v>0</v>
      </c>
      <c r="AI216">
        <v>0</v>
      </c>
    </row>
    <row r="217" spans="1:35" x14ac:dyDescent="0.25">
      <c r="A217">
        <v>2025</v>
      </c>
      <c r="B217" t="s">
        <v>125</v>
      </c>
      <c r="C217" t="s">
        <v>85</v>
      </c>
      <c r="D217" t="str" cm="1">
        <f t="array" ref="D217">_xlfn.XLOOKUP(1,('26 WR'!A:A=E217)*('26 WR'!B:B=F217),'26 WR'!C:C)</f>
        <v>Michael Pittman Jr.</v>
      </c>
      <c r="E217" t="s">
        <v>20</v>
      </c>
      <c r="F217">
        <v>36</v>
      </c>
      <c r="G217">
        <f>VLOOKUP(B217,[2]FantasyPros_2025_Overall_ADP_Ra!$B$2:$E$416,4,FALSE)</f>
        <v>69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23.2</v>
      </c>
      <c r="O217">
        <v>25.5</v>
      </c>
      <c r="P217">
        <v>18.600000000000001</v>
      </c>
      <c r="Q217">
        <v>0</v>
      </c>
      <c r="R217">
        <v>9.8000000000000007</v>
      </c>
      <c r="S217">
        <v>24.1</v>
      </c>
      <c r="T217">
        <v>29.4</v>
      </c>
      <c r="U217">
        <v>7.4</v>
      </c>
      <c r="V217">
        <v>150.1</v>
      </c>
      <c r="W217">
        <v>18.8</v>
      </c>
      <c r="X217">
        <v>6</v>
      </c>
      <c r="Y217">
        <v>1</v>
      </c>
      <c r="Z217">
        <v>6</v>
      </c>
      <c r="AA217">
        <v>5</v>
      </c>
      <c r="AB217">
        <v>4</v>
      </c>
      <c r="AC217">
        <v>2</v>
      </c>
      <c r="AD217">
        <v>0</v>
      </c>
      <c r="AE217">
        <v>0.35294117647058826</v>
      </c>
      <c r="AF217">
        <v>0.625</v>
      </c>
      <c r="AG217">
        <v>0.5</v>
      </c>
      <c r="AH217">
        <v>0.25</v>
      </c>
      <c r="AI217">
        <v>0</v>
      </c>
    </row>
    <row r="218" spans="1:35" x14ac:dyDescent="0.25">
      <c r="A218">
        <v>2025</v>
      </c>
      <c r="B218" t="s">
        <v>126</v>
      </c>
      <c r="C218" t="s">
        <v>110</v>
      </c>
      <c r="D218" t="str" cm="1">
        <f t="array" ref="D218">_xlfn.XLOOKUP(1,('26 WR'!A:A=E218)*('26 WR'!B:B=F218),'26 WR'!C:C)</f>
        <v>Michael Wilson</v>
      </c>
      <c r="E218" t="s">
        <v>20</v>
      </c>
      <c r="F218">
        <v>37</v>
      </c>
      <c r="G218">
        <f>VLOOKUP(B218,[2]FantasyPros_2025_Overall_ADP_Ra!$B$2:$E$416,4,FALSE)</f>
        <v>70</v>
      </c>
      <c r="H218">
        <v>15.7</v>
      </c>
      <c r="I218">
        <v>31.8</v>
      </c>
      <c r="J218">
        <v>15.2</v>
      </c>
      <c r="K218">
        <v>16.899999999999999</v>
      </c>
      <c r="L218">
        <v>0</v>
      </c>
      <c r="M218">
        <v>5.2</v>
      </c>
      <c r="N218">
        <v>5.0999999999999996</v>
      </c>
      <c r="O218">
        <v>18.399999999999999</v>
      </c>
      <c r="P218">
        <v>0</v>
      </c>
      <c r="Q218">
        <v>20.6</v>
      </c>
      <c r="R218">
        <v>6.1</v>
      </c>
      <c r="S218">
        <v>8.3000000000000007</v>
      </c>
      <c r="T218">
        <v>2.8</v>
      </c>
      <c r="U218">
        <v>0</v>
      </c>
      <c r="V218">
        <v>146.1</v>
      </c>
      <c r="W218">
        <v>12.2</v>
      </c>
      <c r="X218">
        <v>6</v>
      </c>
      <c r="Y218">
        <v>1</v>
      </c>
      <c r="Z218">
        <v>6</v>
      </c>
      <c r="AA218">
        <v>6</v>
      </c>
      <c r="AB218">
        <v>2</v>
      </c>
      <c r="AC218">
        <v>1</v>
      </c>
      <c r="AD218">
        <v>1</v>
      </c>
      <c r="AE218">
        <v>0.35294117647058826</v>
      </c>
      <c r="AF218">
        <v>0.5</v>
      </c>
      <c r="AG218">
        <v>0.16666666666666666</v>
      </c>
      <c r="AH218">
        <v>8.3333333333333329E-2</v>
      </c>
      <c r="AI218">
        <v>8.3333333333333329E-2</v>
      </c>
    </row>
    <row r="219" spans="1:35" x14ac:dyDescent="0.25">
      <c r="A219">
        <v>2025</v>
      </c>
      <c r="B219" t="s">
        <v>131</v>
      </c>
      <c r="C219" t="s">
        <v>132</v>
      </c>
      <c r="D219" t="str" cm="1">
        <f t="array" ref="D219">_xlfn.XLOOKUP(1,('26 WR'!A:A=E219)*('26 WR'!B:B=F219),'26 WR'!C:C)</f>
        <v>Jordyn Tyson</v>
      </c>
      <c r="E219" t="s">
        <v>20</v>
      </c>
      <c r="F219">
        <v>38</v>
      </c>
      <c r="G219">
        <f>VLOOKUP(B219,[2]FantasyPros_2025_Overall_ADP_Ra!$B$2:$E$416,4,FALSE)</f>
        <v>73</v>
      </c>
      <c r="H219">
        <v>11.6</v>
      </c>
      <c r="I219">
        <v>9.1</v>
      </c>
      <c r="J219">
        <v>2.7</v>
      </c>
      <c r="K219">
        <v>7.8</v>
      </c>
      <c r="L219">
        <v>3.5</v>
      </c>
      <c r="M219">
        <v>9.3000000000000007</v>
      </c>
      <c r="N219">
        <v>3.7</v>
      </c>
      <c r="O219">
        <v>0</v>
      </c>
      <c r="P219">
        <v>0</v>
      </c>
      <c r="Q219">
        <v>19.8</v>
      </c>
      <c r="R219">
        <v>5.0999999999999996</v>
      </c>
      <c r="S219">
        <v>2.9</v>
      </c>
      <c r="T219">
        <v>5.6</v>
      </c>
      <c r="U219">
        <v>16.600000000000001</v>
      </c>
      <c r="V219">
        <v>120.7</v>
      </c>
      <c r="W219">
        <v>7.1</v>
      </c>
      <c r="X219">
        <v>7</v>
      </c>
      <c r="Y219">
        <v>1</v>
      </c>
      <c r="Z219">
        <v>4</v>
      </c>
      <c r="AA219">
        <v>2</v>
      </c>
      <c r="AB219">
        <v>0</v>
      </c>
      <c r="AC219">
        <v>0</v>
      </c>
      <c r="AD219">
        <v>0</v>
      </c>
      <c r="AE219">
        <v>0.23529411764705882</v>
      </c>
      <c r="AF219">
        <v>0.11764705882352941</v>
      </c>
      <c r="AG219">
        <v>0</v>
      </c>
      <c r="AH219">
        <v>0</v>
      </c>
      <c r="AI219">
        <v>0</v>
      </c>
    </row>
    <row r="220" spans="1:35" x14ac:dyDescent="0.25">
      <c r="A220">
        <v>2025</v>
      </c>
      <c r="B220" t="s">
        <v>135</v>
      </c>
      <c r="C220" t="s">
        <v>78</v>
      </c>
      <c r="D220" t="str" cm="1">
        <f t="array" ref="D220">_xlfn.XLOOKUP(1,('26 WR'!A:A=E220)*('26 WR'!B:B=F220),'26 WR'!C:C)</f>
        <v>Brian Thomas Jr.</v>
      </c>
      <c r="E220" t="s">
        <v>20</v>
      </c>
      <c r="F220">
        <v>39</v>
      </c>
      <c r="G220">
        <f>VLOOKUP(B220,[2]FantasyPros_2025_Overall_ADP_Ra!$B$2:$E$416,4,FALSE)</f>
        <v>76</v>
      </c>
      <c r="H220">
        <v>11.7</v>
      </c>
      <c r="I220">
        <v>7.2</v>
      </c>
      <c r="J220">
        <v>5.3</v>
      </c>
      <c r="K220">
        <v>16.100000000000001</v>
      </c>
      <c r="L220">
        <v>24.6</v>
      </c>
      <c r="M220">
        <v>5.8</v>
      </c>
      <c r="N220">
        <v>13.9</v>
      </c>
      <c r="O220">
        <v>10.4</v>
      </c>
      <c r="P220">
        <v>12.8</v>
      </c>
      <c r="Q220">
        <v>15.6</v>
      </c>
      <c r="R220">
        <v>19.5</v>
      </c>
      <c r="S220">
        <v>4</v>
      </c>
      <c r="T220">
        <v>5.6</v>
      </c>
      <c r="U220">
        <v>0</v>
      </c>
      <c r="V220">
        <v>210.3</v>
      </c>
      <c r="W220">
        <v>12.4</v>
      </c>
      <c r="X220">
        <v>7</v>
      </c>
      <c r="Y220">
        <v>1</v>
      </c>
      <c r="Z220">
        <v>10</v>
      </c>
      <c r="AA220">
        <v>6</v>
      </c>
      <c r="AB220">
        <v>3</v>
      </c>
      <c r="AC220">
        <v>0</v>
      </c>
      <c r="AD220">
        <v>0</v>
      </c>
      <c r="AE220">
        <v>0.58823529411764708</v>
      </c>
      <c r="AF220">
        <v>0.35294117647058826</v>
      </c>
      <c r="AG220">
        <v>0.17647058823529413</v>
      </c>
      <c r="AH220">
        <v>0</v>
      </c>
      <c r="AI220">
        <v>0</v>
      </c>
    </row>
    <row r="221" spans="1:35" x14ac:dyDescent="0.25">
      <c r="A221">
        <v>2025</v>
      </c>
      <c r="B221" t="s">
        <v>136</v>
      </c>
      <c r="C221" t="s">
        <v>96</v>
      </c>
      <c r="D221" t="str" cm="1">
        <f t="array" ref="D221">_xlfn.XLOOKUP(1,('26 WR'!A:A=E221)*('26 WR'!B:B=F221),'26 WR'!C:C)</f>
        <v>Wan'Dale Robinson</v>
      </c>
      <c r="E221" t="s">
        <v>20</v>
      </c>
      <c r="F221">
        <v>40</v>
      </c>
      <c r="G221">
        <f>VLOOKUP(B221,[2]FantasyPros_2025_Overall_ADP_Ra!$B$2:$E$416,4,FALSE)</f>
        <v>77</v>
      </c>
      <c r="H221">
        <v>12.4</v>
      </c>
      <c r="I221">
        <v>11.4</v>
      </c>
      <c r="J221">
        <v>15.7</v>
      </c>
      <c r="K221">
        <v>10</v>
      </c>
      <c r="L221">
        <v>12.9</v>
      </c>
      <c r="M221">
        <v>15.8</v>
      </c>
      <c r="N221">
        <v>26.8</v>
      </c>
      <c r="O221">
        <v>14</v>
      </c>
      <c r="P221">
        <v>8.6999999999999993</v>
      </c>
      <c r="Q221">
        <v>21.4</v>
      </c>
      <c r="R221">
        <v>0</v>
      </c>
      <c r="S221">
        <v>16</v>
      </c>
      <c r="T221">
        <v>14.7</v>
      </c>
      <c r="U221">
        <v>6</v>
      </c>
      <c r="V221">
        <v>269</v>
      </c>
      <c r="W221">
        <v>16.8</v>
      </c>
      <c r="X221">
        <v>7</v>
      </c>
      <c r="Y221">
        <v>1</v>
      </c>
      <c r="Z221">
        <v>13</v>
      </c>
      <c r="AA221">
        <v>8</v>
      </c>
      <c r="AB221">
        <v>5</v>
      </c>
      <c r="AC221">
        <v>3</v>
      </c>
      <c r="AD221">
        <v>1</v>
      </c>
      <c r="AE221">
        <v>0.76470588235294112</v>
      </c>
      <c r="AF221">
        <v>0.5</v>
      </c>
      <c r="AG221">
        <v>0.3125</v>
      </c>
      <c r="AH221">
        <v>0.1875</v>
      </c>
      <c r="AI221">
        <v>6.25E-2</v>
      </c>
    </row>
    <row r="222" spans="1:35" x14ac:dyDescent="0.25">
      <c r="A222">
        <v>2025</v>
      </c>
      <c r="B222" t="s">
        <v>139</v>
      </c>
      <c r="C222" t="s">
        <v>51</v>
      </c>
      <c r="D222" t="str" cm="1">
        <f t="array" ref="D222">_xlfn.XLOOKUP(1,('26 WR'!A:A=E222)*('26 WR'!B:B=F222),'26 WR'!C:C)</f>
        <v>Jakobi Meyers</v>
      </c>
      <c r="E222" t="s">
        <v>20</v>
      </c>
      <c r="F222">
        <v>41</v>
      </c>
      <c r="G222">
        <f>VLOOKUP(B222,[2]FantasyPros_2025_Overall_ADP_Ra!$B$2:$E$416,4,FALSE)</f>
        <v>80</v>
      </c>
      <c r="H222">
        <v>17.7</v>
      </c>
      <c r="I222">
        <v>12.8</v>
      </c>
      <c r="J222">
        <v>9.3000000000000007</v>
      </c>
      <c r="K222">
        <v>7</v>
      </c>
      <c r="L222">
        <v>7.2</v>
      </c>
      <c r="M222">
        <v>7.9</v>
      </c>
      <c r="N222">
        <v>0</v>
      </c>
      <c r="O222">
        <v>0</v>
      </c>
      <c r="P222">
        <v>6.3</v>
      </c>
      <c r="Q222">
        <v>7.1</v>
      </c>
      <c r="R222">
        <v>11.4</v>
      </c>
      <c r="S222">
        <v>15</v>
      </c>
      <c r="T222">
        <v>21.3</v>
      </c>
      <c r="U222">
        <v>14.8</v>
      </c>
      <c r="V222">
        <v>175.8</v>
      </c>
      <c r="W222">
        <v>11</v>
      </c>
      <c r="X222">
        <v>7</v>
      </c>
      <c r="Y222">
        <v>1</v>
      </c>
      <c r="Z222">
        <v>7</v>
      </c>
      <c r="AA222">
        <v>2</v>
      </c>
      <c r="AB222">
        <v>1</v>
      </c>
      <c r="AC222">
        <v>0</v>
      </c>
      <c r="AD222">
        <v>0</v>
      </c>
      <c r="AE222">
        <v>0.41176470588235292</v>
      </c>
      <c r="AF222">
        <v>0.125</v>
      </c>
      <c r="AG222">
        <v>6.25E-2</v>
      </c>
      <c r="AH222">
        <v>0</v>
      </c>
      <c r="AI222">
        <v>0</v>
      </c>
    </row>
    <row r="223" spans="1:35" x14ac:dyDescent="0.25">
      <c r="A223">
        <v>2025</v>
      </c>
      <c r="B223" t="s">
        <v>145</v>
      </c>
      <c r="C223" t="s">
        <v>74</v>
      </c>
      <c r="D223" t="str" cm="1">
        <f t="array" ref="D223">_xlfn.XLOOKUP(1,('26 WR'!A:A=E223)*('26 WR'!B:B=F223),'26 WR'!C:C)</f>
        <v>Makai Lemon</v>
      </c>
      <c r="E223" t="s">
        <v>20</v>
      </c>
      <c r="F223">
        <v>42</v>
      </c>
      <c r="G223">
        <f>VLOOKUP(B223,[2]FantasyPros_2025_Overall_ADP_Ra!$B$2:$E$416,4,FALSE)</f>
        <v>85</v>
      </c>
      <c r="H223">
        <v>3.5</v>
      </c>
      <c r="I223">
        <v>16</v>
      </c>
      <c r="J223">
        <v>5.0999999999999996</v>
      </c>
      <c r="K223">
        <v>6.6</v>
      </c>
      <c r="L223">
        <v>11.9</v>
      </c>
      <c r="M223">
        <v>12</v>
      </c>
      <c r="N223">
        <v>3.2</v>
      </c>
      <c r="O223">
        <v>0</v>
      </c>
      <c r="P223">
        <v>0</v>
      </c>
      <c r="Q223">
        <v>9.4</v>
      </c>
      <c r="R223">
        <v>5.3</v>
      </c>
      <c r="S223">
        <v>4.4000000000000004</v>
      </c>
      <c r="T223">
        <v>5.4</v>
      </c>
      <c r="U223">
        <v>11.5</v>
      </c>
      <c r="V223">
        <v>117.3</v>
      </c>
      <c r="W223">
        <v>7.3</v>
      </c>
      <c r="X223">
        <v>8</v>
      </c>
      <c r="Y223">
        <v>1</v>
      </c>
      <c r="Z223">
        <v>4</v>
      </c>
      <c r="AA223">
        <v>1</v>
      </c>
      <c r="AB223">
        <v>0</v>
      </c>
      <c r="AC223">
        <v>0</v>
      </c>
      <c r="AD223">
        <v>0</v>
      </c>
      <c r="AE223">
        <v>0.23529411764705882</v>
      </c>
      <c r="AF223">
        <v>6.25E-2</v>
      </c>
      <c r="AG223">
        <v>0</v>
      </c>
      <c r="AH223">
        <v>0</v>
      </c>
      <c r="AI223">
        <v>0</v>
      </c>
    </row>
    <row r="224" spans="1:35" x14ac:dyDescent="0.25">
      <c r="A224">
        <v>2025</v>
      </c>
      <c r="B224" t="s">
        <v>148</v>
      </c>
      <c r="C224" t="s">
        <v>68</v>
      </c>
      <c r="D224" t="str" cm="1">
        <f t="array" ref="D224">_xlfn.XLOOKUP(1,('26 WR'!A:A=E224)*('26 WR'!B:B=F224),'26 WR'!C:C)</f>
        <v>Parker Washington</v>
      </c>
      <c r="E224" t="s">
        <v>20</v>
      </c>
      <c r="F224">
        <v>43</v>
      </c>
      <c r="G224">
        <f>VLOOKUP(B224,[2]FantasyPros_2025_Overall_ADP_Ra!$B$2:$E$416,4,FALSE)</f>
        <v>89</v>
      </c>
      <c r="H224">
        <v>25.2</v>
      </c>
      <c r="I224">
        <v>5.6</v>
      </c>
      <c r="J224">
        <v>5</v>
      </c>
      <c r="K224">
        <v>7.5</v>
      </c>
      <c r="L224">
        <v>10.3</v>
      </c>
      <c r="M224">
        <v>4.0999999999999996</v>
      </c>
      <c r="N224">
        <v>0</v>
      </c>
      <c r="O224">
        <v>6</v>
      </c>
      <c r="P224">
        <v>3.7</v>
      </c>
      <c r="Q224">
        <v>13.6</v>
      </c>
      <c r="R224">
        <v>0</v>
      </c>
      <c r="S224">
        <v>0</v>
      </c>
      <c r="T224">
        <v>8.9</v>
      </c>
      <c r="U224">
        <v>3.6</v>
      </c>
      <c r="V224">
        <v>102.4</v>
      </c>
      <c r="W224">
        <v>7.9</v>
      </c>
      <c r="X224">
        <v>8</v>
      </c>
      <c r="Y224">
        <v>1</v>
      </c>
      <c r="Z224">
        <v>3</v>
      </c>
      <c r="AA224">
        <v>1</v>
      </c>
      <c r="AB224">
        <v>1</v>
      </c>
      <c r="AC224">
        <v>1</v>
      </c>
      <c r="AD224">
        <v>0</v>
      </c>
      <c r="AE224">
        <v>0.17647058823529413</v>
      </c>
      <c r="AF224">
        <v>7.6923076923076927E-2</v>
      </c>
      <c r="AG224">
        <v>7.6923076923076927E-2</v>
      </c>
      <c r="AH224">
        <v>7.6923076923076927E-2</v>
      </c>
      <c r="AI224">
        <v>0</v>
      </c>
    </row>
    <row r="225" spans="1:35" x14ac:dyDescent="0.25">
      <c r="A225">
        <v>2025</v>
      </c>
      <c r="B225" t="s">
        <v>149</v>
      </c>
      <c r="C225" t="s">
        <v>31</v>
      </c>
      <c r="D225" t="str" cm="1">
        <f t="array" ref="D225">_xlfn.XLOOKUP(1,('26 WR'!A:A=E225)*('26 WR'!B:B=F225),'26 WR'!C:C)</f>
        <v>Josh Downs</v>
      </c>
      <c r="E225" t="s">
        <v>20</v>
      </c>
      <c r="F225">
        <v>44</v>
      </c>
      <c r="G225">
        <f>VLOOKUP(B225,[2]FantasyPros_2025_Overall_ADP_Ra!$B$2:$E$416,4,FALSE)</f>
        <v>90</v>
      </c>
      <c r="H225">
        <v>0</v>
      </c>
      <c r="I225">
        <v>0</v>
      </c>
      <c r="J225">
        <v>0</v>
      </c>
      <c r="K225">
        <v>15.4</v>
      </c>
      <c r="L225">
        <v>15.1</v>
      </c>
      <c r="M225">
        <v>0</v>
      </c>
      <c r="N225">
        <v>21.8</v>
      </c>
      <c r="O225">
        <v>11.6</v>
      </c>
      <c r="P225">
        <v>8.4</v>
      </c>
      <c r="Q225">
        <v>6.5</v>
      </c>
      <c r="R225">
        <v>10</v>
      </c>
      <c r="S225">
        <v>0</v>
      </c>
      <c r="T225">
        <v>8.6</v>
      </c>
      <c r="U225">
        <v>10.199999999999999</v>
      </c>
      <c r="V225">
        <v>135.1</v>
      </c>
      <c r="W225">
        <v>9.6999999999999993</v>
      </c>
      <c r="X225">
        <v>8</v>
      </c>
      <c r="Y225">
        <v>1</v>
      </c>
      <c r="Z225">
        <v>6</v>
      </c>
      <c r="AA225">
        <v>3</v>
      </c>
      <c r="AB225">
        <v>1</v>
      </c>
      <c r="AC225">
        <v>0</v>
      </c>
      <c r="AD225">
        <v>0</v>
      </c>
      <c r="AE225">
        <v>0.35294117647058826</v>
      </c>
      <c r="AF225">
        <v>0.21428571428571427</v>
      </c>
      <c r="AG225">
        <v>7.1428571428571425E-2</v>
      </c>
      <c r="AH225">
        <v>0</v>
      </c>
      <c r="AI225">
        <v>0</v>
      </c>
    </row>
    <row r="226" spans="1:35" x14ac:dyDescent="0.25">
      <c r="A226">
        <v>2025</v>
      </c>
      <c r="B226" t="s">
        <v>152</v>
      </c>
      <c r="C226" t="s">
        <v>26</v>
      </c>
      <c r="D226" t="str" cm="1">
        <f t="array" ref="D226">_xlfn.XLOOKUP(1,('26 WR'!A:A=E226)*('26 WR'!B:B=F226),'26 WR'!C:C)</f>
        <v>Ricky Pearsall</v>
      </c>
      <c r="E226" t="s">
        <v>20</v>
      </c>
      <c r="F226">
        <v>45</v>
      </c>
      <c r="G226">
        <f>VLOOKUP(B226,[2]FantasyPros_2025_Overall_ADP_Ra!$B$2:$E$416,4,FALSE)</f>
        <v>92</v>
      </c>
      <c r="H226">
        <v>3.6</v>
      </c>
      <c r="I226">
        <v>19.899999999999999</v>
      </c>
      <c r="J226">
        <v>0</v>
      </c>
      <c r="K226">
        <v>6.4</v>
      </c>
      <c r="L226">
        <v>0</v>
      </c>
      <c r="M226">
        <v>1.7</v>
      </c>
      <c r="N226">
        <v>7.1</v>
      </c>
      <c r="O226">
        <v>8.5</v>
      </c>
      <c r="P226">
        <v>14.1</v>
      </c>
      <c r="Q226">
        <v>17.100000000000001</v>
      </c>
      <c r="R226">
        <v>9.4</v>
      </c>
      <c r="S226">
        <v>15.1</v>
      </c>
      <c r="T226">
        <v>13.9</v>
      </c>
      <c r="U226">
        <v>0</v>
      </c>
      <c r="V226">
        <v>173.3</v>
      </c>
      <c r="W226">
        <v>11.6</v>
      </c>
      <c r="X226">
        <v>8</v>
      </c>
      <c r="Y226">
        <v>1</v>
      </c>
      <c r="Z226">
        <v>8</v>
      </c>
      <c r="AA226">
        <v>5</v>
      </c>
      <c r="AB226">
        <v>0</v>
      </c>
      <c r="AC226">
        <v>0</v>
      </c>
      <c r="AD226">
        <v>0</v>
      </c>
      <c r="AE226">
        <v>0.47058823529411764</v>
      </c>
      <c r="AF226">
        <v>0.33333333333333331</v>
      </c>
      <c r="AG226">
        <v>0</v>
      </c>
      <c r="AH226">
        <v>0</v>
      </c>
      <c r="AI226">
        <v>0</v>
      </c>
    </row>
    <row r="227" spans="1:35" x14ac:dyDescent="0.25">
      <c r="A227">
        <v>2025</v>
      </c>
      <c r="B227" t="s">
        <v>154</v>
      </c>
      <c r="C227" t="s">
        <v>68</v>
      </c>
      <c r="D227" t="str" cm="1">
        <f t="array" ref="D227">_xlfn.XLOOKUP(1,('26 WR'!A:A=E227)*('26 WR'!B:B=F227),'26 WR'!C:C)</f>
        <v>Jordan Addison</v>
      </c>
      <c r="E227" t="s">
        <v>20</v>
      </c>
      <c r="F227">
        <v>46</v>
      </c>
      <c r="G227">
        <f>VLOOKUP(B227,[2]FantasyPros_2025_Overall_ADP_Ra!$B$2:$E$416,4,FALSE)</f>
        <v>94</v>
      </c>
      <c r="H227">
        <v>12.4</v>
      </c>
      <c r="I227">
        <v>2.2000000000000002</v>
      </c>
      <c r="J227">
        <v>14.5</v>
      </c>
      <c r="K227">
        <v>17.899999999999999</v>
      </c>
      <c r="L227">
        <v>11</v>
      </c>
      <c r="M227">
        <v>6.3</v>
      </c>
      <c r="N227">
        <v>0</v>
      </c>
      <c r="O227">
        <v>20.8</v>
      </c>
      <c r="P227">
        <v>11.3</v>
      </c>
      <c r="Q227">
        <v>12.8</v>
      </c>
      <c r="R227">
        <v>0.7</v>
      </c>
      <c r="S227">
        <v>17</v>
      </c>
      <c r="T227">
        <v>1.5</v>
      </c>
      <c r="U227">
        <v>9.6</v>
      </c>
      <c r="V227">
        <v>166.4</v>
      </c>
      <c r="W227">
        <v>10.4</v>
      </c>
      <c r="X227">
        <v>8</v>
      </c>
      <c r="Y227">
        <v>1</v>
      </c>
      <c r="Z227">
        <v>9</v>
      </c>
      <c r="AA227">
        <v>3</v>
      </c>
      <c r="AB227">
        <v>1</v>
      </c>
      <c r="AC227">
        <v>0</v>
      </c>
      <c r="AD227">
        <v>0</v>
      </c>
      <c r="AE227">
        <v>0.52941176470588236</v>
      </c>
      <c r="AF227">
        <v>0.1875</v>
      </c>
      <c r="AG227">
        <v>6.25E-2</v>
      </c>
      <c r="AH227">
        <v>0</v>
      </c>
      <c r="AI227">
        <v>0</v>
      </c>
    </row>
    <row r="228" spans="1:35" x14ac:dyDescent="0.25">
      <c r="A228">
        <v>2025</v>
      </c>
      <c r="B228" t="s">
        <v>155</v>
      </c>
      <c r="C228" t="s">
        <v>55</v>
      </c>
      <c r="D228" t="str" cm="1">
        <f t="array" ref="D228">_xlfn.XLOOKUP(1,('26 WR'!A:A=E228)*('26 WR'!B:B=F228),'26 WR'!C:C)</f>
        <v>Quentin Johnston</v>
      </c>
      <c r="E228" t="s">
        <v>20</v>
      </c>
      <c r="F228">
        <v>47</v>
      </c>
      <c r="G228">
        <f>VLOOKUP(B228,[2]FantasyPros_2025_Overall_ADP_Ra!$B$2:$E$416,4,FALSE)</f>
        <v>96</v>
      </c>
      <c r="H228">
        <v>20</v>
      </c>
      <c r="I228">
        <v>8</v>
      </c>
      <c r="J228">
        <v>19.3</v>
      </c>
      <c r="K228">
        <v>15.1</v>
      </c>
      <c r="L228">
        <v>14.9</v>
      </c>
      <c r="M228">
        <v>4</v>
      </c>
      <c r="N228">
        <v>20.8</v>
      </c>
      <c r="O228">
        <v>23.5</v>
      </c>
      <c r="P228">
        <v>20.5</v>
      </c>
      <c r="Q228">
        <v>3.9</v>
      </c>
      <c r="R228">
        <v>0</v>
      </c>
      <c r="S228">
        <v>13.7</v>
      </c>
      <c r="T228">
        <v>2.2999999999999998</v>
      </c>
      <c r="U228">
        <v>16.899999999999999</v>
      </c>
      <c r="V228">
        <v>202.4</v>
      </c>
      <c r="W228">
        <v>11.9</v>
      </c>
      <c r="X228">
        <v>8</v>
      </c>
      <c r="Y228">
        <v>1</v>
      </c>
      <c r="Z228">
        <v>9</v>
      </c>
      <c r="AA228">
        <v>7</v>
      </c>
      <c r="AB228">
        <v>3</v>
      </c>
      <c r="AC228">
        <v>0</v>
      </c>
      <c r="AD228">
        <v>0</v>
      </c>
      <c r="AE228">
        <v>0.52941176470588236</v>
      </c>
      <c r="AF228">
        <v>0.41176470588235292</v>
      </c>
      <c r="AG228">
        <v>0.17647058823529413</v>
      </c>
      <c r="AH228">
        <v>0</v>
      </c>
      <c r="AI228">
        <v>0</v>
      </c>
    </row>
    <row r="229" spans="1:35" x14ac:dyDescent="0.25">
      <c r="A229">
        <v>2025</v>
      </c>
      <c r="B229" t="s">
        <v>164</v>
      </c>
      <c r="C229" t="s">
        <v>55</v>
      </c>
      <c r="D229" t="str" cm="1">
        <f t="array" ref="D229">_xlfn.XLOOKUP(1,('26 WR'!A:A=E229)*('26 WR'!B:B=F229),'26 WR'!C:C)</f>
        <v>Jayden Reed</v>
      </c>
      <c r="E229" t="s">
        <v>20</v>
      </c>
      <c r="F229">
        <v>48</v>
      </c>
      <c r="G229">
        <f>VLOOKUP(B229,[2]FantasyPros_2025_Overall_ADP_Ra!$B$2:$E$416,4,FALSE)</f>
        <v>103</v>
      </c>
      <c r="H229">
        <v>3.2</v>
      </c>
      <c r="I229">
        <v>11.1</v>
      </c>
      <c r="J229">
        <v>5.4</v>
      </c>
      <c r="K229">
        <v>6.4</v>
      </c>
      <c r="L229">
        <v>11.4</v>
      </c>
      <c r="M229">
        <v>16.2</v>
      </c>
      <c r="N229">
        <v>0</v>
      </c>
      <c r="O229">
        <v>12.9</v>
      </c>
      <c r="P229">
        <v>15.7</v>
      </c>
      <c r="Q229">
        <v>1.3</v>
      </c>
      <c r="R229">
        <v>0</v>
      </c>
      <c r="S229">
        <v>3</v>
      </c>
      <c r="T229">
        <v>6.4</v>
      </c>
      <c r="U229">
        <v>6.3</v>
      </c>
      <c r="V229">
        <v>136.4</v>
      </c>
      <c r="W229">
        <v>8.5</v>
      </c>
      <c r="X229">
        <v>9</v>
      </c>
      <c r="Y229">
        <v>1</v>
      </c>
      <c r="Z229">
        <v>7</v>
      </c>
      <c r="AA229">
        <v>2</v>
      </c>
      <c r="AB229">
        <v>0</v>
      </c>
      <c r="AC229">
        <v>0</v>
      </c>
      <c r="AD229">
        <v>0</v>
      </c>
      <c r="AE229">
        <v>0.41176470588235292</v>
      </c>
      <c r="AF229">
        <v>0.125</v>
      </c>
      <c r="AG229">
        <v>0</v>
      </c>
      <c r="AH229">
        <v>0</v>
      </c>
      <c r="AI229">
        <v>0</v>
      </c>
    </row>
    <row r="230" spans="1:35" x14ac:dyDescent="0.25">
      <c r="A230">
        <v>2025</v>
      </c>
      <c r="B230" t="s">
        <v>168</v>
      </c>
      <c r="C230" t="s">
        <v>65</v>
      </c>
      <c r="D230" t="str" cm="1">
        <f t="array" ref="D230">_xlfn.XLOOKUP(1,('26 WR'!A:A=E230)*('26 WR'!B:B=F230),'26 WR'!C:C)</f>
        <v>Khalil Shakir</v>
      </c>
      <c r="E230" t="s">
        <v>20</v>
      </c>
      <c r="F230">
        <v>49</v>
      </c>
      <c r="G230">
        <f>VLOOKUP(B230,[2]FantasyPros_2025_Overall_ADP_Ra!$B$2:$E$416,4,FALSE)</f>
        <v>105</v>
      </c>
      <c r="H230">
        <v>19.8</v>
      </c>
      <c r="I230">
        <v>17.100000000000001</v>
      </c>
      <c r="J230">
        <v>19.5</v>
      </c>
      <c r="K230">
        <v>8.6999999999999993</v>
      </c>
      <c r="L230">
        <v>10.8</v>
      </c>
      <c r="M230">
        <v>6.7</v>
      </c>
      <c r="N230">
        <v>28.9</v>
      </c>
      <c r="O230">
        <v>8.4</v>
      </c>
      <c r="P230">
        <v>6.1</v>
      </c>
      <c r="Q230">
        <v>3.9</v>
      </c>
      <c r="R230">
        <v>9.3000000000000007</v>
      </c>
      <c r="S230">
        <v>0</v>
      </c>
      <c r="T230">
        <v>7</v>
      </c>
      <c r="U230">
        <v>5.2</v>
      </c>
      <c r="V230">
        <v>182.7</v>
      </c>
      <c r="W230">
        <v>10.7</v>
      </c>
      <c r="X230">
        <v>9</v>
      </c>
      <c r="Y230">
        <v>1</v>
      </c>
      <c r="Z230">
        <v>6</v>
      </c>
      <c r="AA230">
        <v>4</v>
      </c>
      <c r="AB230">
        <v>1</v>
      </c>
      <c r="AC230">
        <v>1</v>
      </c>
      <c r="AD230">
        <v>0</v>
      </c>
      <c r="AE230">
        <v>0.35294117647058826</v>
      </c>
      <c r="AF230">
        <v>0.23529411764705882</v>
      </c>
      <c r="AG230">
        <v>5.8823529411764705E-2</v>
      </c>
      <c r="AH230">
        <v>5.8823529411764705E-2</v>
      </c>
      <c r="AI230">
        <v>0</v>
      </c>
    </row>
    <row r="231" spans="1:35" x14ac:dyDescent="0.25">
      <c r="A231">
        <v>2025</v>
      </c>
      <c r="B231" t="s">
        <v>156</v>
      </c>
      <c r="C231" t="s">
        <v>57</v>
      </c>
      <c r="D231" t="str" cm="1">
        <f t="array" ref="D231">_xlfn.XLOOKUP(1,('26 WR'!A:A=E231)*('26 WR'!B:B=F231),'26 WR'!C:C)</f>
        <v>Jayden Higgins</v>
      </c>
      <c r="E231" t="s">
        <v>20</v>
      </c>
      <c r="F231">
        <v>50</v>
      </c>
      <c r="G231">
        <f>VLOOKUP(B231,[2]FantasyPros_2025_Overall_ADP_Ra!$B$2:$E$416,4,FALSE)</f>
        <v>110</v>
      </c>
      <c r="H231">
        <v>0</v>
      </c>
      <c r="I231">
        <v>0</v>
      </c>
      <c r="J231">
        <v>0</v>
      </c>
      <c r="K231">
        <v>5.6</v>
      </c>
      <c r="L231">
        <v>5.6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</v>
      </c>
      <c r="T231">
        <v>10.8</v>
      </c>
      <c r="U231">
        <v>10.5</v>
      </c>
      <c r="V231">
        <v>83</v>
      </c>
      <c r="W231">
        <v>9.1999999999999993</v>
      </c>
      <c r="X231">
        <v>10</v>
      </c>
      <c r="Y231">
        <v>1</v>
      </c>
      <c r="Z231">
        <v>4</v>
      </c>
      <c r="AA231">
        <v>1</v>
      </c>
      <c r="AB231">
        <v>1</v>
      </c>
      <c r="AC231">
        <v>0</v>
      </c>
      <c r="AD231">
        <v>0</v>
      </c>
      <c r="AE231">
        <v>0.23529411764705882</v>
      </c>
      <c r="AF231">
        <v>0.1111111111111111</v>
      </c>
      <c r="AG231">
        <v>0.1111111111111111</v>
      </c>
      <c r="AH231">
        <v>0</v>
      </c>
      <c r="AI231">
        <v>0</v>
      </c>
    </row>
    <row r="232" spans="1:35" x14ac:dyDescent="0.25">
      <c r="A232">
        <v>2025</v>
      </c>
      <c r="B232" t="s">
        <v>172</v>
      </c>
      <c r="C232" t="s">
        <v>74</v>
      </c>
      <c r="D232" t="str" cm="1">
        <f t="array" ref="D232">_xlfn.XLOOKUP(1,('26 WR'!A:A=E232)*('26 WR'!B:B=F232),'26 WR'!C:C)</f>
        <v>Xavier Worthy</v>
      </c>
      <c r="E232" t="s">
        <v>20</v>
      </c>
      <c r="F232">
        <v>51</v>
      </c>
      <c r="G232">
        <f>VLOOKUP(B232,[2]FantasyPros_2025_Overall_ADP_Ra!$B$2:$E$416,4,FALSE)</f>
        <v>115</v>
      </c>
      <c r="H232">
        <v>9.3000000000000007</v>
      </c>
      <c r="I232">
        <v>15.2</v>
      </c>
      <c r="J232">
        <v>8.1999999999999993</v>
      </c>
      <c r="K232">
        <v>9.1999999999999993</v>
      </c>
      <c r="L232">
        <v>21.4</v>
      </c>
      <c r="M232">
        <v>6.8</v>
      </c>
      <c r="N232">
        <v>8</v>
      </c>
      <c r="O232">
        <v>14.5</v>
      </c>
      <c r="P232">
        <v>11.8</v>
      </c>
      <c r="Q232">
        <v>3.3</v>
      </c>
      <c r="R232">
        <v>4.9000000000000004</v>
      </c>
      <c r="S232">
        <v>0.5</v>
      </c>
      <c r="T232">
        <v>2.6</v>
      </c>
      <c r="U232">
        <v>16.7</v>
      </c>
      <c r="V232">
        <v>156.6</v>
      </c>
      <c r="W232">
        <v>8.6999999999999993</v>
      </c>
      <c r="X232">
        <v>10</v>
      </c>
      <c r="Y232">
        <v>1</v>
      </c>
      <c r="Z232">
        <v>6</v>
      </c>
      <c r="AA232">
        <v>3</v>
      </c>
      <c r="AB232">
        <v>1</v>
      </c>
      <c r="AC232">
        <v>0</v>
      </c>
      <c r="AD232">
        <v>0</v>
      </c>
      <c r="AE232">
        <v>0.35294117647058826</v>
      </c>
      <c r="AF232">
        <v>0.16666666666666666</v>
      </c>
      <c r="AG232">
        <v>5.5555555555555552E-2</v>
      </c>
      <c r="AH232">
        <v>0</v>
      </c>
      <c r="AI232">
        <v>0</v>
      </c>
    </row>
    <row r="233" spans="1:35" x14ac:dyDescent="0.25">
      <c r="A233">
        <v>2025</v>
      </c>
      <c r="B233" t="s">
        <v>175</v>
      </c>
      <c r="C233" t="s">
        <v>61</v>
      </c>
      <c r="D233" t="str" cm="1">
        <f t="array" ref="D233">_xlfn.XLOOKUP(1,('26 WR'!A:A=E233)*('26 WR'!B:B=F233),'26 WR'!C:C)</f>
        <v>KC Concepcion</v>
      </c>
      <c r="E233" t="s">
        <v>20</v>
      </c>
      <c r="F233">
        <v>52</v>
      </c>
      <c r="G233">
        <f>VLOOKUP(B233,[2]FantasyPros_2025_Overall_ADP_Ra!$B$2:$E$416,4,FALSE)</f>
        <v>116</v>
      </c>
      <c r="H233">
        <v>13.5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9.3000000000000007</v>
      </c>
      <c r="V233">
        <v>48.5</v>
      </c>
      <c r="W233">
        <v>6.9</v>
      </c>
      <c r="X233">
        <v>20</v>
      </c>
      <c r="Y233">
        <v>1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0.11764705882352941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>
        <v>2025</v>
      </c>
      <c r="B234" t="s">
        <v>177</v>
      </c>
      <c r="C234" t="s">
        <v>39</v>
      </c>
      <c r="D234" t="str" cm="1">
        <f t="array" ref="D234">_xlfn.XLOOKUP(1,('26 WR'!A:A=E234)*('26 WR'!B:B=F234),'26 WR'!C:C)</f>
        <v>Romeo Doubs</v>
      </c>
      <c r="E234" t="s">
        <v>20</v>
      </c>
      <c r="F234">
        <v>53</v>
      </c>
      <c r="G234">
        <f>VLOOKUP(B234,[2]FantasyPros_2025_Overall_ADP_Ra!$B$2:$E$416,4,FALSE)</f>
        <v>117</v>
      </c>
      <c r="H234">
        <v>0</v>
      </c>
      <c r="I234">
        <v>0</v>
      </c>
      <c r="J234">
        <v>5.5</v>
      </c>
      <c r="K234">
        <v>5</v>
      </c>
      <c r="L234">
        <v>10.4</v>
      </c>
      <c r="M234">
        <v>0</v>
      </c>
      <c r="N234">
        <v>0</v>
      </c>
      <c r="O234">
        <v>0</v>
      </c>
      <c r="P234">
        <v>6.6</v>
      </c>
      <c r="Q234">
        <v>1.3</v>
      </c>
      <c r="R234">
        <v>1.6</v>
      </c>
      <c r="S234">
        <v>16.399999999999999</v>
      </c>
      <c r="T234">
        <v>0</v>
      </c>
      <c r="U234">
        <v>1.6</v>
      </c>
      <c r="V234">
        <v>57.9</v>
      </c>
      <c r="W234">
        <v>4.5</v>
      </c>
      <c r="X234">
        <v>10</v>
      </c>
      <c r="Y234">
        <v>1</v>
      </c>
      <c r="Z234">
        <v>2</v>
      </c>
      <c r="AA234">
        <v>1</v>
      </c>
      <c r="AB234">
        <v>0</v>
      </c>
      <c r="AC234">
        <v>0</v>
      </c>
      <c r="AD234">
        <v>0</v>
      </c>
      <c r="AE234">
        <v>0.11764705882352941</v>
      </c>
      <c r="AF234">
        <v>7.6923076923076927E-2</v>
      </c>
      <c r="AG234">
        <v>0</v>
      </c>
      <c r="AH234">
        <v>0</v>
      </c>
      <c r="AI234">
        <v>0</v>
      </c>
    </row>
    <row r="235" spans="1:35" x14ac:dyDescent="0.25">
      <c r="A235">
        <v>2025</v>
      </c>
      <c r="B235" t="s">
        <v>178</v>
      </c>
      <c r="C235" t="s">
        <v>39</v>
      </c>
      <c r="D235" t="str" cm="1">
        <f t="array" ref="D235">_xlfn.XLOOKUP(1,('26 WR'!A:A=E235)*('26 WR'!B:B=F235),'26 WR'!C:C)</f>
        <v>Jalen Coker</v>
      </c>
      <c r="E235" t="s">
        <v>20</v>
      </c>
      <c r="F235">
        <v>54</v>
      </c>
      <c r="G235">
        <f>VLOOKUP(B235,[2]FantasyPros_2025_Overall_ADP_Ra!$B$2:$E$416,4,FALSE)</f>
        <v>118</v>
      </c>
      <c r="H235">
        <v>5.2</v>
      </c>
      <c r="I235">
        <v>3.8</v>
      </c>
      <c r="J235">
        <v>1.5</v>
      </c>
      <c r="K235">
        <v>9.4</v>
      </c>
      <c r="L235">
        <v>7.2</v>
      </c>
      <c r="M235">
        <v>0</v>
      </c>
      <c r="N235">
        <v>0</v>
      </c>
      <c r="O235">
        <v>13.4</v>
      </c>
      <c r="P235">
        <v>1.4</v>
      </c>
      <c r="Q235">
        <v>15.2</v>
      </c>
      <c r="R235">
        <v>9.5</v>
      </c>
      <c r="S235">
        <v>13.8</v>
      </c>
      <c r="T235">
        <v>11.5</v>
      </c>
      <c r="U235">
        <v>6.4</v>
      </c>
      <c r="V235">
        <v>129.5</v>
      </c>
      <c r="W235">
        <v>7.6</v>
      </c>
      <c r="X235">
        <v>10</v>
      </c>
      <c r="Y235">
        <v>1</v>
      </c>
      <c r="Z235">
        <v>6</v>
      </c>
      <c r="AA235">
        <v>2</v>
      </c>
      <c r="AB235">
        <v>0</v>
      </c>
      <c r="AC235">
        <v>0</v>
      </c>
      <c r="AD235">
        <v>0</v>
      </c>
      <c r="AE235">
        <v>0.35294117647058826</v>
      </c>
      <c r="AF235">
        <v>0.11764705882352941</v>
      </c>
      <c r="AG235">
        <v>0</v>
      </c>
      <c r="AH235">
        <v>0</v>
      </c>
      <c r="AI235">
        <v>0</v>
      </c>
    </row>
    <row r="236" spans="1:35" x14ac:dyDescent="0.25">
      <c r="A236">
        <v>2025</v>
      </c>
      <c r="B236" t="s">
        <v>187</v>
      </c>
      <c r="C236" t="s">
        <v>98</v>
      </c>
      <c r="D236" t="str" cm="1">
        <f t="array" ref="D236">_xlfn.XLOOKUP(1,('26 WR'!A:A=E236)*('26 WR'!B:B=F236),'26 WR'!C:C)</f>
        <v>Matthew Golden</v>
      </c>
      <c r="E236" t="s">
        <v>20</v>
      </c>
      <c r="F236">
        <v>55</v>
      </c>
      <c r="G236">
        <f>VLOOKUP(B236,[2]FantasyPros_2025_Overall_ADP_Ra!$B$2:$E$416,4,FALSE)</f>
        <v>121</v>
      </c>
      <c r="H236">
        <v>2.2000000000000002</v>
      </c>
      <c r="I236">
        <v>10.4</v>
      </c>
      <c r="J236">
        <v>1.4</v>
      </c>
      <c r="K236">
        <v>20.5</v>
      </c>
      <c r="L236">
        <v>3.9</v>
      </c>
      <c r="M236">
        <v>4.8</v>
      </c>
      <c r="N236">
        <v>15.8</v>
      </c>
      <c r="O236">
        <v>1.8</v>
      </c>
      <c r="P236">
        <v>0</v>
      </c>
      <c r="Q236">
        <v>0</v>
      </c>
      <c r="R236">
        <v>0.2</v>
      </c>
      <c r="S236">
        <v>0</v>
      </c>
      <c r="T236">
        <v>3.7</v>
      </c>
      <c r="U236">
        <v>7.7</v>
      </c>
      <c r="V236">
        <v>93</v>
      </c>
      <c r="W236">
        <v>5.8</v>
      </c>
      <c r="X236">
        <v>11</v>
      </c>
      <c r="Y236">
        <v>1</v>
      </c>
      <c r="Z236">
        <v>3</v>
      </c>
      <c r="AA236">
        <v>2</v>
      </c>
      <c r="AB236">
        <v>1</v>
      </c>
      <c r="AC236">
        <v>0</v>
      </c>
      <c r="AD236">
        <v>0</v>
      </c>
      <c r="AE236">
        <v>0.17647058823529413</v>
      </c>
      <c r="AF236">
        <v>0.125</v>
      </c>
      <c r="AG236">
        <v>6.25E-2</v>
      </c>
      <c r="AH236">
        <v>0</v>
      </c>
      <c r="AI236">
        <v>0</v>
      </c>
    </row>
    <row r="237" spans="1:35" x14ac:dyDescent="0.25">
      <c r="A237">
        <v>2025</v>
      </c>
      <c r="B237" t="s">
        <v>206</v>
      </c>
      <c r="C237" t="s">
        <v>41</v>
      </c>
      <c r="D237" t="str" cm="1">
        <f t="array" ref="D237">_xlfn.XLOOKUP(1,('26 WR'!A:A=E237)*('26 WR'!B:B=F237),'26 WR'!C:C)</f>
        <v>Jauan Jennings</v>
      </c>
      <c r="E237" t="s">
        <v>20</v>
      </c>
      <c r="F237">
        <v>56</v>
      </c>
      <c r="G237">
        <f>VLOOKUP(B237,[2]FantasyPros_2025_Overall_ADP_Ra!$B$2:$E$416,4,FALSE)</f>
        <v>123</v>
      </c>
      <c r="H237">
        <v>3</v>
      </c>
      <c r="I237">
        <v>3.5</v>
      </c>
      <c r="J237">
        <v>17.3</v>
      </c>
      <c r="K237">
        <v>3.4</v>
      </c>
      <c r="L237">
        <v>0</v>
      </c>
      <c r="M237">
        <v>1.8</v>
      </c>
      <c r="N237">
        <v>0</v>
      </c>
      <c r="O237">
        <v>7.1</v>
      </c>
      <c r="P237">
        <v>9.3000000000000007</v>
      </c>
      <c r="Q237">
        <v>4</v>
      </c>
      <c r="R237">
        <v>0</v>
      </c>
      <c r="S237">
        <v>0</v>
      </c>
      <c r="T237">
        <v>0</v>
      </c>
      <c r="U237">
        <v>4.3</v>
      </c>
      <c r="V237">
        <v>55.4</v>
      </c>
      <c r="W237">
        <v>4.3</v>
      </c>
      <c r="X237">
        <v>11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5.8823529411764705E-2</v>
      </c>
      <c r="AF237">
        <v>7.6923076923076927E-2</v>
      </c>
      <c r="AG237">
        <v>0</v>
      </c>
      <c r="AH237">
        <v>0</v>
      </c>
      <c r="AI237">
        <v>0</v>
      </c>
    </row>
    <row r="238" spans="1:35" x14ac:dyDescent="0.25">
      <c r="A238">
        <v>2025</v>
      </c>
      <c r="B238" t="s">
        <v>218</v>
      </c>
      <c r="C238" t="s">
        <v>24</v>
      </c>
      <c r="D238" t="str" cm="1">
        <f t="array" ref="D238">_xlfn.XLOOKUP(1,('26 WR'!A:A=E238)*('26 WR'!B:B=F238),'26 WR'!C:C)</f>
        <v>Rashid Shaheed</v>
      </c>
      <c r="E238" t="s">
        <v>20</v>
      </c>
      <c r="F238">
        <v>57</v>
      </c>
      <c r="G238">
        <f>VLOOKUP(B238,[2]FantasyPros_2025_Overall_ADP_Ra!$B$2:$E$416,4,FALSE)</f>
        <v>126</v>
      </c>
      <c r="H238">
        <v>0</v>
      </c>
      <c r="I238">
        <v>4</v>
      </c>
      <c r="J238">
        <v>8.4</v>
      </c>
      <c r="K238">
        <v>2.5</v>
      </c>
      <c r="L238">
        <v>0</v>
      </c>
      <c r="M238">
        <v>0</v>
      </c>
      <c r="N238">
        <v>9.8000000000000007</v>
      </c>
      <c r="O238">
        <v>2.1</v>
      </c>
      <c r="P238">
        <v>2.5</v>
      </c>
      <c r="Q238">
        <v>2.7</v>
      </c>
      <c r="R238">
        <v>6.4</v>
      </c>
      <c r="S238">
        <v>16.399999999999999</v>
      </c>
      <c r="T238">
        <v>4.5</v>
      </c>
      <c r="U238">
        <v>1.6</v>
      </c>
      <c r="V238">
        <v>82.3</v>
      </c>
      <c r="W238">
        <v>5.5</v>
      </c>
      <c r="X238">
        <v>11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5.8823529411764705E-2</v>
      </c>
      <c r="AF238">
        <v>6.6666666666666666E-2</v>
      </c>
      <c r="AG238">
        <v>0</v>
      </c>
      <c r="AH238">
        <v>0</v>
      </c>
      <c r="AI238">
        <v>0</v>
      </c>
    </row>
    <row r="239" spans="1:35" x14ac:dyDescent="0.25">
      <c r="A239">
        <v>2025</v>
      </c>
      <c r="B239" t="s">
        <v>294</v>
      </c>
      <c r="C239" t="s">
        <v>110</v>
      </c>
      <c r="D239" t="str" cm="1">
        <f t="array" ref="D239">_xlfn.XLOOKUP(1,('26 WR'!A:A=E239)*('26 WR'!B:B=F239),'26 WR'!C:C)</f>
        <v>Jerry Jeudy</v>
      </c>
      <c r="E239" t="s">
        <v>20</v>
      </c>
      <c r="F239">
        <v>58</v>
      </c>
      <c r="G239">
        <f>VLOOKUP(B239,[2]FantasyPros_2025_Overall_ADP_Ra!$B$2:$E$416,4,FALSE)</f>
        <v>135</v>
      </c>
      <c r="H239">
        <v>0.7</v>
      </c>
      <c r="I239">
        <v>1.5</v>
      </c>
      <c r="J239">
        <v>19.8</v>
      </c>
      <c r="K239">
        <v>1.6</v>
      </c>
      <c r="L239">
        <v>0</v>
      </c>
      <c r="M239">
        <v>9.1</v>
      </c>
      <c r="N239">
        <v>3.1</v>
      </c>
      <c r="O239">
        <v>0.9</v>
      </c>
      <c r="P239">
        <v>0</v>
      </c>
      <c r="Q239">
        <v>8.1</v>
      </c>
      <c r="R239">
        <v>5.7</v>
      </c>
      <c r="S239">
        <v>9.1</v>
      </c>
      <c r="T239">
        <v>7.6</v>
      </c>
      <c r="U239">
        <v>11</v>
      </c>
      <c r="V239">
        <v>127.9</v>
      </c>
      <c r="W239">
        <v>8.5</v>
      </c>
      <c r="X239">
        <v>12</v>
      </c>
      <c r="Y239">
        <v>1</v>
      </c>
      <c r="Z239">
        <v>4</v>
      </c>
      <c r="AA239">
        <v>2</v>
      </c>
      <c r="AB239">
        <v>1</v>
      </c>
      <c r="AC239">
        <v>1</v>
      </c>
      <c r="AD239">
        <v>0</v>
      </c>
      <c r="AE239">
        <v>0.23529411764705882</v>
      </c>
      <c r="AF239">
        <v>0.13333333333333333</v>
      </c>
      <c r="AG239">
        <v>6.6666666666666666E-2</v>
      </c>
      <c r="AH239">
        <v>6.6666666666666666E-2</v>
      </c>
      <c r="AI239">
        <v>0</v>
      </c>
    </row>
    <row r="240" spans="1:35" x14ac:dyDescent="0.25">
      <c r="A240">
        <v>2025</v>
      </c>
      <c r="B240" t="s">
        <v>184</v>
      </c>
      <c r="C240" t="s">
        <v>78</v>
      </c>
      <c r="D240" t="str" cm="1">
        <f t="array" ref="D240">_xlfn.XLOOKUP(1,('26 WR'!A:A=E240)*('26 WR'!B:B=F240),'26 WR'!C:C)</f>
        <v>Omar Cooper Jr.</v>
      </c>
      <c r="E240" t="s">
        <v>20</v>
      </c>
      <c r="F240">
        <v>59</v>
      </c>
      <c r="G240">
        <f>VLOOKUP(B240,[2]FantasyPros_2025_Overall_ADP_Ra!$B$2:$E$416,4,FALSE)</f>
        <v>147</v>
      </c>
      <c r="H240">
        <v>8.1999999999999993</v>
      </c>
      <c r="I240">
        <v>1.8</v>
      </c>
      <c r="J240">
        <v>2.7</v>
      </c>
      <c r="K240">
        <v>0</v>
      </c>
      <c r="L240">
        <v>3.7</v>
      </c>
      <c r="M240">
        <v>16.100000000000001</v>
      </c>
      <c r="N240">
        <v>4.7</v>
      </c>
      <c r="O240">
        <v>5.7</v>
      </c>
      <c r="P240">
        <v>20</v>
      </c>
      <c r="Q240">
        <v>5.4</v>
      </c>
      <c r="R240">
        <v>6.1</v>
      </c>
      <c r="S240">
        <v>6.1</v>
      </c>
      <c r="T240">
        <v>6.3</v>
      </c>
      <c r="U240">
        <v>0</v>
      </c>
      <c r="V240">
        <v>95.8</v>
      </c>
      <c r="W240">
        <v>5.6</v>
      </c>
      <c r="X240">
        <v>13</v>
      </c>
      <c r="Y240">
        <v>1</v>
      </c>
      <c r="Z240">
        <v>2</v>
      </c>
      <c r="AA240">
        <v>2</v>
      </c>
      <c r="AB240">
        <v>0</v>
      </c>
      <c r="AC240">
        <v>0</v>
      </c>
      <c r="AD240">
        <v>0</v>
      </c>
      <c r="AE240">
        <v>0.11764705882352941</v>
      </c>
      <c r="AF240">
        <v>0.11764705882352941</v>
      </c>
      <c r="AG240">
        <v>0</v>
      </c>
      <c r="AH240">
        <v>0</v>
      </c>
      <c r="AI240">
        <v>0</v>
      </c>
    </row>
    <row r="241" spans="1:35" x14ac:dyDescent="0.25">
      <c r="A241">
        <v>2025</v>
      </c>
      <c r="B241" t="s">
        <v>190</v>
      </c>
      <c r="C241" t="s">
        <v>68</v>
      </c>
      <c r="D241" t="str" cm="1">
        <f t="array" ref="D241">_xlfn.XLOOKUP(1,('26 WR'!A:A=E241)*('26 WR'!B:B=F241),'26 WR'!C:C)</f>
        <v>Denzel Boston</v>
      </c>
      <c r="E241" t="s">
        <v>20</v>
      </c>
      <c r="F241">
        <v>60</v>
      </c>
      <c r="G241">
        <f>VLOOKUP(B241,[2]FantasyPros_2025_Overall_ADP_Ra!$B$2:$E$416,4,FALSE)</f>
        <v>150</v>
      </c>
      <c r="H241">
        <v>11.1</v>
      </c>
      <c r="I241">
        <v>6.7</v>
      </c>
      <c r="J241">
        <v>1.5</v>
      </c>
      <c r="K241">
        <v>4.5</v>
      </c>
      <c r="L241">
        <v>5.6</v>
      </c>
      <c r="M241">
        <v>8</v>
      </c>
      <c r="N241">
        <v>0</v>
      </c>
      <c r="O241">
        <v>0</v>
      </c>
      <c r="P241">
        <v>0</v>
      </c>
      <c r="Q241">
        <v>0</v>
      </c>
      <c r="R241">
        <v>3.7</v>
      </c>
      <c r="S241">
        <v>4.0999999999999996</v>
      </c>
      <c r="T241">
        <v>0</v>
      </c>
      <c r="U241">
        <v>0</v>
      </c>
      <c r="V241">
        <v>52.3</v>
      </c>
      <c r="W241">
        <v>4.4000000000000004</v>
      </c>
      <c r="X241">
        <v>13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5.8823529411764705E-2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>
        <v>2025</v>
      </c>
      <c r="B242" t="s">
        <v>192</v>
      </c>
      <c r="C242" t="s">
        <v>61</v>
      </c>
      <c r="D242" t="str" cm="1">
        <f t="array" ref="D242">_xlfn.XLOOKUP(1,('26 WR'!A:A=E242)*('26 WR'!B:B=F242),'26 WR'!C:C)</f>
        <v>Travis Hunter</v>
      </c>
      <c r="E242" t="s">
        <v>20</v>
      </c>
      <c r="F242">
        <v>61</v>
      </c>
      <c r="G242">
        <f>VLOOKUP(B242,[2]FantasyPros_2025_Overall_ADP_Ra!$B$2:$E$416,4,FALSE)</f>
        <v>153</v>
      </c>
      <c r="H242">
        <v>8.8000000000000007</v>
      </c>
      <c r="I242">
        <v>11.8</v>
      </c>
      <c r="J242">
        <v>4.5</v>
      </c>
      <c r="K242">
        <v>29.8</v>
      </c>
      <c r="L242">
        <v>0</v>
      </c>
      <c r="M242">
        <v>10.5</v>
      </c>
      <c r="N242">
        <v>13.2</v>
      </c>
      <c r="O242">
        <v>9.4</v>
      </c>
      <c r="P242">
        <v>16.100000000000001</v>
      </c>
      <c r="Q242">
        <v>1.5</v>
      </c>
      <c r="R242">
        <v>9.3000000000000007</v>
      </c>
      <c r="S242">
        <v>4.3</v>
      </c>
      <c r="T242">
        <v>12</v>
      </c>
      <c r="U242">
        <v>0</v>
      </c>
      <c r="V242">
        <v>165.4</v>
      </c>
      <c r="W242">
        <v>10.3</v>
      </c>
      <c r="X242">
        <v>13</v>
      </c>
      <c r="Y242">
        <v>1</v>
      </c>
      <c r="Z242">
        <v>7</v>
      </c>
      <c r="AA242">
        <v>3</v>
      </c>
      <c r="AB242">
        <v>1</v>
      </c>
      <c r="AC242">
        <v>1</v>
      </c>
      <c r="AD242">
        <v>0</v>
      </c>
      <c r="AE242">
        <v>0.41176470588235292</v>
      </c>
      <c r="AF242">
        <v>0.1875</v>
      </c>
      <c r="AG242">
        <v>6.25E-2</v>
      </c>
      <c r="AH242">
        <v>6.25E-2</v>
      </c>
      <c r="AI242">
        <v>0</v>
      </c>
    </row>
    <row r="243" spans="1:35" x14ac:dyDescent="0.25">
      <c r="A243">
        <v>2025</v>
      </c>
      <c r="B243" t="s">
        <v>194</v>
      </c>
      <c r="C243" t="s">
        <v>132</v>
      </c>
      <c r="D243" t="str" cm="1">
        <f t="array" ref="D243">_xlfn.XLOOKUP(1,('26 WR'!A:A=E243)*('26 WR'!B:B=F243),'26 WR'!C:C)</f>
        <v>Jalen McMillan</v>
      </c>
      <c r="E243" t="s">
        <v>20</v>
      </c>
      <c r="F243">
        <v>62</v>
      </c>
      <c r="G243">
        <f>VLOOKUP(B243,[2]FantasyPros_2025_Overall_ADP_Ra!$B$2:$E$416,4,FALSE)</f>
        <v>156</v>
      </c>
      <c r="H243">
        <v>16.2</v>
      </c>
      <c r="I243">
        <v>10.199999999999999</v>
      </c>
      <c r="J243">
        <v>5.6</v>
      </c>
      <c r="K243">
        <v>1.6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3.1</v>
      </c>
      <c r="R243">
        <v>8.1999999999999993</v>
      </c>
      <c r="S243">
        <v>1.5</v>
      </c>
      <c r="T243">
        <v>0</v>
      </c>
      <c r="U243">
        <v>3.3</v>
      </c>
      <c r="V243">
        <v>60</v>
      </c>
      <c r="W243">
        <v>4.5999999999999996</v>
      </c>
      <c r="X243">
        <v>13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0</v>
      </c>
      <c r="AE243">
        <v>0.11764705882352941</v>
      </c>
      <c r="AF243">
        <v>7.6923076923076927E-2</v>
      </c>
      <c r="AG243">
        <v>0</v>
      </c>
      <c r="AH243">
        <v>0</v>
      </c>
      <c r="AI243">
        <v>0</v>
      </c>
    </row>
    <row r="244" spans="1:35" x14ac:dyDescent="0.25">
      <c r="A244">
        <v>2025</v>
      </c>
      <c r="B244" t="s">
        <v>197</v>
      </c>
      <c r="C244" t="s">
        <v>92</v>
      </c>
      <c r="D244" t="str" cm="1">
        <f t="array" ref="D244">_xlfn.XLOOKUP(1,('26 WR'!A:A=E244)*('26 WR'!B:B=F244),'26 WR'!C:C)</f>
        <v>Adonai Mitchell</v>
      </c>
      <c r="E244" t="s">
        <v>20</v>
      </c>
      <c r="F244">
        <v>63</v>
      </c>
      <c r="G244">
        <f>VLOOKUP(B244,[2]FantasyPros_2025_Overall_ADP_Ra!$B$2:$E$416,4,FALSE)</f>
        <v>160</v>
      </c>
      <c r="H244">
        <v>4</v>
      </c>
      <c r="I244">
        <v>0.8</v>
      </c>
      <c r="J244">
        <v>0</v>
      </c>
      <c r="K244">
        <v>0</v>
      </c>
      <c r="L244">
        <v>11.1</v>
      </c>
      <c r="M244">
        <v>3.1</v>
      </c>
      <c r="N244">
        <v>24.2</v>
      </c>
      <c r="O244">
        <v>3.7</v>
      </c>
      <c r="P244">
        <v>3.2</v>
      </c>
      <c r="Q244">
        <v>0</v>
      </c>
      <c r="R244">
        <v>18.3</v>
      </c>
      <c r="S244">
        <v>5.2</v>
      </c>
      <c r="T244">
        <v>1.1000000000000001</v>
      </c>
      <c r="U244">
        <v>0</v>
      </c>
      <c r="V244">
        <v>89.3</v>
      </c>
      <c r="W244">
        <v>6</v>
      </c>
      <c r="X244">
        <v>14</v>
      </c>
      <c r="Y244">
        <v>1</v>
      </c>
      <c r="Z244">
        <v>3</v>
      </c>
      <c r="AA244">
        <v>2</v>
      </c>
      <c r="AB244">
        <v>1</v>
      </c>
      <c r="AC244">
        <v>0</v>
      </c>
      <c r="AD244">
        <v>0</v>
      </c>
      <c r="AE244">
        <v>0.17647058823529413</v>
      </c>
      <c r="AF244">
        <v>0.13333333333333333</v>
      </c>
      <c r="AG244">
        <v>6.6666666666666666E-2</v>
      </c>
      <c r="AH244">
        <v>0</v>
      </c>
      <c r="AI244">
        <v>0</v>
      </c>
    </row>
    <row r="245" spans="1:35" x14ac:dyDescent="0.25">
      <c r="A245">
        <v>2025</v>
      </c>
      <c r="B245" t="s">
        <v>201</v>
      </c>
      <c r="C245" t="s">
        <v>37</v>
      </c>
      <c r="D245" t="str" cm="1">
        <f t="array" ref="D245">_xlfn.XLOOKUP(1,('26 WR'!A:A=E245)*('26 WR'!B:B=F245),'26 WR'!C:C)</f>
        <v>Tre' Harris</v>
      </c>
      <c r="E245" t="s">
        <v>20</v>
      </c>
      <c r="F245">
        <v>64</v>
      </c>
      <c r="G245">
        <f>VLOOKUP(B245,[2]FantasyPros_2025_Overall_ADP_Ra!$B$2:$E$416,4,FALSE)</f>
        <v>162</v>
      </c>
      <c r="H245">
        <v>8.3000000000000007</v>
      </c>
      <c r="I245">
        <v>3.9</v>
      </c>
      <c r="J245">
        <v>0</v>
      </c>
      <c r="K245">
        <v>0</v>
      </c>
      <c r="L245">
        <v>8.1999999999999993</v>
      </c>
      <c r="M245">
        <v>0</v>
      </c>
      <c r="N245">
        <v>0</v>
      </c>
      <c r="O245">
        <v>0</v>
      </c>
      <c r="P245">
        <v>0</v>
      </c>
      <c r="Q245">
        <v>2.1</v>
      </c>
      <c r="R245">
        <v>0</v>
      </c>
      <c r="S245">
        <v>0</v>
      </c>
      <c r="T245">
        <v>11.5</v>
      </c>
      <c r="U245">
        <v>10</v>
      </c>
      <c r="V245">
        <v>75.900000000000006</v>
      </c>
      <c r="W245">
        <v>4.5</v>
      </c>
      <c r="X245">
        <v>14</v>
      </c>
      <c r="Y245">
        <v>1</v>
      </c>
      <c r="Z245">
        <v>3</v>
      </c>
      <c r="AA245">
        <v>1</v>
      </c>
      <c r="AB245">
        <v>0</v>
      </c>
      <c r="AC245">
        <v>0</v>
      </c>
      <c r="AD245">
        <v>0</v>
      </c>
      <c r="AE245">
        <v>0.17647058823529413</v>
      </c>
      <c r="AF245">
        <v>5.8823529411764705E-2</v>
      </c>
      <c r="AG245">
        <v>0</v>
      </c>
      <c r="AH245">
        <v>0</v>
      </c>
      <c r="AI245">
        <v>0</v>
      </c>
    </row>
    <row r="246" spans="1:35" x14ac:dyDescent="0.25">
      <c r="A246">
        <v>2025</v>
      </c>
      <c r="B246" t="s">
        <v>204</v>
      </c>
      <c r="C246" t="s">
        <v>85</v>
      </c>
      <c r="D246" t="str" cm="1">
        <f t="array" ref="D246">_xlfn.XLOOKUP(1,('26 WR'!A:A=E246)*('26 WR'!B:B=F246),'26 WR'!C:C)</f>
        <v>Tre Tucker</v>
      </c>
      <c r="E246" t="s">
        <v>20</v>
      </c>
      <c r="F246">
        <v>65</v>
      </c>
      <c r="G246">
        <f>VLOOKUP(B246,[2]FantasyPros_2025_Overall_ADP_Ra!$B$2:$E$416,4,FALSE)</f>
        <v>166</v>
      </c>
      <c r="H246">
        <v>19.899999999999999</v>
      </c>
      <c r="I246">
        <v>8</v>
      </c>
      <c r="J246">
        <v>8.1999999999999993</v>
      </c>
      <c r="K246">
        <v>12.8</v>
      </c>
      <c r="L246">
        <v>8.8000000000000007</v>
      </c>
      <c r="M246">
        <v>20.5</v>
      </c>
      <c r="N246">
        <v>9.4</v>
      </c>
      <c r="O246">
        <v>0</v>
      </c>
      <c r="P246">
        <v>9.3000000000000007</v>
      </c>
      <c r="Q246">
        <v>0</v>
      </c>
      <c r="R246">
        <v>8</v>
      </c>
      <c r="S246">
        <v>2</v>
      </c>
      <c r="T246">
        <v>10</v>
      </c>
      <c r="U246">
        <v>4.5</v>
      </c>
      <c r="V246">
        <v>137.69999999999999</v>
      </c>
      <c r="W246">
        <v>8.6</v>
      </c>
      <c r="X246">
        <v>14</v>
      </c>
      <c r="Y246">
        <v>1</v>
      </c>
      <c r="Z246">
        <v>3</v>
      </c>
      <c r="AA246">
        <v>2</v>
      </c>
      <c r="AB246">
        <v>1</v>
      </c>
      <c r="AC246">
        <v>0</v>
      </c>
      <c r="AD246">
        <v>0</v>
      </c>
      <c r="AE246">
        <v>0.17647058823529413</v>
      </c>
      <c r="AF246">
        <v>0.125</v>
      </c>
      <c r="AG246">
        <v>6.25E-2</v>
      </c>
      <c r="AH246">
        <v>0</v>
      </c>
      <c r="AI246">
        <v>0</v>
      </c>
    </row>
    <row r="247" spans="1:35" x14ac:dyDescent="0.25">
      <c r="A247">
        <v>2025</v>
      </c>
      <c r="B247" t="s">
        <v>209</v>
      </c>
      <c r="C247" t="s">
        <v>43</v>
      </c>
      <c r="D247" t="str" cm="1">
        <f t="array" ref="D247">_xlfn.XLOOKUP(1,('26 WR'!A:A=E247)*('26 WR'!B:B=F247),'26 WR'!C:C)</f>
        <v>Troy Franklin</v>
      </c>
      <c r="E247" t="s">
        <v>20</v>
      </c>
      <c r="F247">
        <v>66</v>
      </c>
      <c r="G247">
        <f>VLOOKUP(B247,[2]FantasyPros_2025_Overall_ADP_Ra!$B$2:$E$416,4,FALSE)</f>
        <v>169</v>
      </c>
      <c r="H247">
        <v>11.5</v>
      </c>
      <c r="I247">
        <v>28.2</v>
      </c>
      <c r="J247">
        <v>3.6</v>
      </c>
      <c r="K247">
        <v>4.4000000000000004</v>
      </c>
      <c r="L247">
        <v>8.1999999999999993</v>
      </c>
      <c r="M247">
        <v>20.399999999999999</v>
      </c>
      <c r="N247">
        <v>15.5</v>
      </c>
      <c r="O247">
        <v>7.8</v>
      </c>
      <c r="P247">
        <v>13.6</v>
      </c>
      <c r="Q247">
        <v>12.2</v>
      </c>
      <c r="R247">
        <v>7.6</v>
      </c>
      <c r="S247">
        <v>30.6</v>
      </c>
      <c r="T247">
        <v>10.4</v>
      </c>
      <c r="U247">
        <v>0</v>
      </c>
      <c r="V247">
        <v>217.9</v>
      </c>
      <c r="W247">
        <v>13.6</v>
      </c>
      <c r="X247">
        <v>15</v>
      </c>
      <c r="Y247">
        <v>1</v>
      </c>
      <c r="Z247">
        <v>10</v>
      </c>
      <c r="AA247">
        <v>6</v>
      </c>
      <c r="AB247">
        <v>4</v>
      </c>
      <c r="AC247">
        <v>2</v>
      </c>
      <c r="AD247">
        <v>1</v>
      </c>
      <c r="AE247">
        <v>0.58823529411764708</v>
      </c>
      <c r="AF247">
        <v>0.375</v>
      </c>
      <c r="AG247">
        <v>0.25</v>
      </c>
      <c r="AH247">
        <v>0.125</v>
      </c>
      <c r="AI247">
        <v>6.25E-2</v>
      </c>
    </row>
    <row r="248" spans="1:35" x14ac:dyDescent="0.25">
      <c r="A248">
        <v>2025</v>
      </c>
      <c r="B248" t="s">
        <v>210</v>
      </c>
      <c r="C248" t="s">
        <v>65</v>
      </c>
      <c r="D248" t="str" cm="1">
        <f t="array" ref="D248">_xlfn.XLOOKUP(1,('26 WR'!A:A=E248)*('26 WR'!B:B=F248),'26 WR'!C:C)</f>
        <v>Kayshon Boutte</v>
      </c>
      <c r="E248" t="s">
        <v>20</v>
      </c>
      <c r="F248">
        <v>67</v>
      </c>
      <c r="G248">
        <f>VLOOKUP(B248,[2]FantasyPros_2025_Overall_ADP_Ra!$B$2:$E$416,4,FALSE)</f>
        <v>171</v>
      </c>
      <c r="H248">
        <v>2.1</v>
      </c>
      <c r="I248">
        <v>5.4</v>
      </c>
      <c r="J248">
        <v>0</v>
      </c>
      <c r="K248">
        <v>0</v>
      </c>
      <c r="L248">
        <v>0</v>
      </c>
      <c r="M248">
        <v>6.7</v>
      </c>
      <c r="N248">
        <v>4.3</v>
      </c>
      <c r="O248">
        <v>8.8000000000000007</v>
      </c>
      <c r="P248">
        <v>3.8</v>
      </c>
      <c r="Q248">
        <v>2.4</v>
      </c>
      <c r="R248">
        <v>2.2000000000000002</v>
      </c>
      <c r="S248">
        <v>0</v>
      </c>
      <c r="T248">
        <v>6</v>
      </c>
      <c r="U248">
        <v>3.1</v>
      </c>
      <c r="V248">
        <v>69.400000000000006</v>
      </c>
      <c r="W248">
        <v>4.0999999999999996</v>
      </c>
      <c r="X248">
        <v>15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25">
      <c r="A249">
        <v>2025</v>
      </c>
      <c r="B249" t="s">
        <v>215</v>
      </c>
      <c r="C249" t="s">
        <v>78</v>
      </c>
      <c r="D249" t="str" cm="1">
        <f t="array" ref="D249">_xlfn.XLOOKUP(1,('26 WR'!A:A=E249)*('26 WR'!B:B=F249),'26 WR'!C:C)</f>
        <v>Ryan Flournoy</v>
      </c>
      <c r="E249" t="s">
        <v>20</v>
      </c>
      <c r="F249">
        <v>68</v>
      </c>
      <c r="G249">
        <f>VLOOKUP(B249,[2]FantasyPros_2025_Overall_ADP_Ra!$B$2:$E$416,4,FALSE)</f>
        <v>176</v>
      </c>
      <c r="H249">
        <v>2.2000000000000002</v>
      </c>
      <c r="I249">
        <v>0</v>
      </c>
      <c r="J249">
        <v>1.8</v>
      </c>
      <c r="K249">
        <v>0.2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14.2</v>
      </c>
      <c r="R249">
        <v>0</v>
      </c>
      <c r="S249">
        <v>2.8</v>
      </c>
      <c r="T249">
        <v>10.3</v>
      </c>
      <c r="U249">
        <v>0</v>
      </c>
      <c r="V249">
        <v>49.2</v>
      </c>
      <c r="W249">
        <v>2.9</v>
      </c>
      <c r="X249">
        <v>15</v>
      </c>
      <c r="Y249">
        <v>1</v>
      </c>
      <c r="Z249">
        <v>3</v>
      </c>
      <c r="AA249">
        <v>0</v>
      </c>
      <c r="AB249">
        <v>0</v>
      </c>
      <c r="AC249">
        <v>0</v>
      </c>
      <c r="AD249">
        <v>0</v>
      </c>
      <c r="AE249">
        <v>0.17647058823529413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>
        <v>2025</v>
      </c>
      <c r="B250" t="s">
        <v>226</v>
      </c>
      <c r="C250" t="s">
        <v>55</v>
      </c>
      <c r="D250" t="str" cm="1">
        <f t="array" ref="D250">_xlfn.XLOOKUP(1,('26 WR'!A:A=E250)*('26 WR'!B:B=F250),'26 WR'!C:C)</f>
        <v>Stefon Diggs</v>
      </c>
      <c r="E250" t="s">
        <v>20</v>
      </c>
      <c r="F250">
        <v>69</v>
      </c>
      <c r="G250">
        <f>VLOOKUP(B250,[2]FantasyPros_2025_Overall_ADP_Ra!$B$2:$E$416,4,FALSE)</f>
        <v>185</v>
      </c>
      <c r="H250">
        <v>4.5999999999999996</v>
      </c>
      <c r="I250">
        <v>10.8</v>
      </c>
      <c r="J250">
        <v>10.7</v>
      </c>
      <c r="K250">
        <v>0</v>
      </c>
      <c r="L250">
        <v>0</v>
      </c>
      <c r="M250">
        <v>6.8</v>
      </c>
      <c r="N250">
        <v>14.8</v>
      </c>
      <c r="O250">
        <v>8.9</v>
      </c>
      <c r="P250">
        <v>17.5</v>
      </c>
      <c r="Q250">
        <v>18.399999999999999</v>
      </c>
      <c r="R250">
        <v>0</v>
      </c>
      <c r="S250">
        <v>3.6</v>
      </c>
      <c r="T250">
        <v>17.8</v>
      </c>
      <c r="U250">
        <v>13</v>
      </c>
      <c r="V250">
        <v>183.3</v>
      </c>
      <c r="W250">
        <v>12.2</v>
      </c>
      <c r="X250">
        <v>16</v>
      </c>
      <c r="Y250">
        <v>1</v>
      </c>
      <c r="Z250">
        <v>9</v>
      </c>
      <c r="AA250">
        <v>5</v>
      </c>
      <c r="AB250">
        <v>2</v>
      </c>
      <c r="AC250">
        <v>1</v>
      </c>
      <c r="AD250">
        <v>0</v>
      </c>
      <c r="AE250">
        <v>0.52941176470588236</v>
      </c>
      <c r="AF250">
        <v>0.33333333333333331</v>
      </c>
      <c r="AG250">
        <v>0.13333333333333333</v>
      </c>
      <c r="AH250">
        <v>6.6666666666666666E-2</v>
      </c>
      <c r="AI250">
        <v>0</v>
      </c>
    </row>
    <row r="251" spans="1:35" x14ac:dyDescent="0.25">
      <c r="A251">
        <v>2025</v>
      </c>
      <c r="B251" t="s">
        <v>227</v>
      </c>
      <c r="C251" t="s">
        <v>98</v>
      </c>
      <c r="D251" t="str" cm="1">
        <f t="array" ref="D251">_xlfn.XLOOKUP(1,('26 WR'!A:A=E251)*('26 WR'!B:B=F251),'26 WR'!C:C)</f>
        <v>Calvin Ridley</v>
      </c>
      <c r="E251" t="s">
        <v>20</v>
      </c>
      <c r="F251">
        <v>70</v>
      </c>
      <c r="G251">
        <f>VLOOKUP(B251,[2]FantasyPros_2025_Overall_ADP_Ra!$B$2:$E$416,4,FALSE)</f>
        <v>186</v>
      </c>
      <c r="H251">
        <v>0</v>
      </c>
      <c r="I251">
        <v>3.8</v>
      </c>
      <c r="J251">
        <v>0</v>
      </c>
      <c r="K251">
        <v>0</v>
      </c>
      <c r="L251">
        <v>0</v>
      </c>
      <c r="M251">
        <v>4.2</v>
      </c>
      <c r="N251">
        <v>1.6</v>
      </c>
      <c r="O251">
        <v>12</v>
      </c>
      <c r="P251">
        <v>4</v>
      </c>
      <c r="Q251">
        <v>5.3</v>
      </c>
      <c r="R251">
        <v>13.2</v>
      </c>
      <c r="S251">
        <v>0</v>
      </c>
      <c r="T251">
        <v>7.2</v>
      </c>
      <c r="U251">
        <v>7.2</v>
      </c>
      <c r="V251">
        <v>74.8</v>
      </c>
      <c r="W251">
        <v>5</v>
      </c>
      <c r="X251">
        <v>16</v>
      </c>
      <c r="Y251">
        <v>1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0.11764705882352941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>
        <v>2025</v>
      </c>
      <c r="B252" t="s">
        <v>229</v>
      </c>
      <c r="C252" t="s">
        <v>65</v>
      </c>
      <c r="D252" t="str" cm="1">
        <f t="array" ref="D252">_xlfn.XLOOKUP(1,('26 WR'!A:A=E252)*('26 WR'!B:B=F252),'26 WR'!C:C)</f>
        <v>Jaylin Noel</v>
      </c>
      <c r="E252" t="s">
        <v>20</v>
      </c>
      <c r="F252">
        <v>71</v>
      </c>
      <c r="G252">
        <f>VLOOKUP(B252,[2]FantasyPros_2025_Overall_ADP_Ra!$B$2:$E$416,4,FALSE)</f>
        <v>187</v>
      </c>
      <c r="H252">
        <v>24.9</v>
      </c>
      <c r="I252">
        <v>15.9</v>
      </c>
      <c r="J252">
        <v>14.9</v>
      </c>
      <c r="K252">
        <v>23.8</v>
      </c>
      <c r="L252">
        <v>6.9</v>
      </c>
      <c r="M252">
        <v>0</v>
      </c>
      <c r="N252">
        <v>11</v>
      </c>
      <c r="O252">
        <v>0</v>
      </c>
      <c r="P252">
        <v>15.3</v>
      </c>
      <c r="Q252">
        <v>9.1999999999999993</v>
      </c>
      <c r="R252">
        <v>0</v>
      </c>
      <c r="S252">
        <v>0</v>
      </c>
      <c r="T252">
        <v>11.3</v>
      </c>
      <c r="U252">
        <v>2.8</v>
      </c>
      <c r="V252">
        <v>171.2</v>
      </c>
      <c r="W252">
        <v>12.2</v>
      </c>
      <c r="X252">
        <v>16</v>
      </c>
      <c r="Y252">
        <v>1</v>
      </c>
      <c r="Z252">
        <v>9</v>
      </c>
      <c r="AA252">
        <v>5</v>
      </c>
      <c r="AB252">
        <v>3</v>
      </c>
      <c r="AC252">
        <v>0</v>
      </c>
      <c r="AD252">
        <v>0</v>
      </c>
      <c r="AE252">
        <v>0.52941176470588236</v>
      </c>
      <c r="AF252">
        <v>0.35714285714285715</v>
      </c>
      <c r="AG252">
        <v>0.21428571428571427</v>
      </c>
      <c r="AH252">
        <v>0</v>
      </c>
      <c r="AI252">
        <v>0</v>
      </c>
    </row>
    <row r="253" spans="1:35" x14ac:dyDescent="0.25">
      <c r="A253">
        <v>2025</v>
      </c>
      <c r="B253" t="s">
        <v>231</v>
      </c>
      <c r="C253" t="s">
        <v>114</v>
      </c>
      <c r="D253" t="str" cm="1">
        <f t="array" ref="D253">_xlfn.XLOOKUP(1,('26 WR'!A:A=E253)*('26 WR'!B:B=F253),'26 WR'!C:C)</f>
        <v>Isaac TeSlaa</v>
      </c>
      <c r="E253" t="s">
        <v>20</v>
      </c>
      <c r="F253">
        <v>72</v>
      </c>
      <c r="G253">
        <f>VLOOKUP(B253,[2]FantasyPros_2025_Overall_ADP_Ra!$B$2:$E$416,4,FALSE)</f>
        <v>188</v>
      </c>
      <c r="H253">
        <v>3.3</v>
      </c>
      <c r="I253">
        <v>15.6</v>
      </c>
      <c r="J253">
        <v>13.8</v>
      </c>
      <c r="K253">
        <v>6.4</v>
      </c>
      <c r="L253">
        <v>3.8</v>
      </c>
      <c r="M253">
        <v>5.7</v>
      </c>
      <c r="N253">
        <v>4.9000000000000004</v>
      </c>
      <c r="O253">
        <v>9.1999999999999993</v>
      </c>
      <c r="P253">
        <v>7.6</v>
      </c>
      <c r="Q253">
        <v>0</v>
      </c>
      <c r="R253">
        <v>3.1</v>
      </c>
      <c r="S253">
        <v>0</v>
      </c>
      <c r="T253">
        <v>1.5</v>
      </c>
      <c r="U253">
        <v>8.4</v>
      </c>
      <c r="V253">
        <v>116.5</v>
      </c>
      <c r="W253">
        <v>7.3</v>
      </c>
      <c r="X253">
        <v>16</v>
      </c>
      <c r="Y253">
        <v>1</v>
      </c>
      <c r="Z253">
        <v>3</v>
      </c>
      <c r="AA253">
        <v>1</v>
      </c>
      <c r="AB253">
        <v>0</v>
      </c>
      <c r="AC253">
        <v>0</v>
      </c>
      <c r="AD253">
        <v>0</v>
      </c>
      <c r="AE253">
        <v>0.17647058823529413</v>
      </c>
      <c r="AF253">
        <v>6.25E-2</v>
      </c>
      <c r="AG253">
        <v>0</v>
      </c>
      <c r="AH253">
        <v>0</v>
      </c>
      <c r="AI253">
        <v>0</v>
      </c>
    </row>
    <row r="254" spans="1:35" x14ac:dyDescent="0.25">
      <c r="A254">
        <v>2025</v>
      </c>
      <c r="B254" t="s">
        <v>237</v>
      </c>
      <c r="C254" t="s">
        <v>74</v>
      </c>
      <c r="D254" t="str" cm="1">
        <f t="array" ref="D254">_xlfn.XLOOKUP(1,('26 WR'!A:A=E254)*('26 WR'!B:B=F254),'26 WR'!C:C)</f>
        <v>Darnell Mooney</v>
      </c>
      <c r="E254" t="s">
        <v>20</v>
      </c>
      <c r="F254">
        <v>73</v>
      </c>
      <c r="G254">
        <f>VLOOKUP(B254,[2]FantasyPros_2025_Overall_ADP_Ra!$B$2:$E$416,4,FALSE)</f>
        <v>193</v>
      </c>
      <c r="H254">
        <v>0</v>
      </c>
      <c r="I254">
        <v>11.2</v>
      </c>
      <c r="J254">
        <v>18.2</v>
      </c>
      <c r="K254">
        <v>2</v>
      </c>
      <c r="L254">
        <v>12.9</v>
      </c>
      <c r="M254">
        <v>0</v>
      </c>
      <c r="N254">
        <v>0</v>
      </c>
      <c r="O254">
        <v>0</v>
      </c>
      <c r="P254">
        <v>20.8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65.099999999999994</v>
      </c>
      <c r="W254">
        <v>8.1</v>
      </c>
      <c r="X254">
        <v>17</v>
      </c>
      <c r="Y254">
        <v>1</v>
      </c>
      <c r="Z254">
        <v>4</v>
      </c>
      <c r="AA254">
        <v>2</v>
      </c>
      <c r="AB254">
        <v>1</v>
      </c>
      <c r="AC254">
        <v>0</v>
      </c>
      <c r="AD254">
        <v>0</v>
      </c>
      <c r="AE254">
        <v>0.23529411764705882</v>
      </c>
      <c r="AF254">
        <v>0.25</v>
      </c>
      <c r="AG254">
        <v>0.125</v>
      </c>
      <c r="AH254">
        <v>0</v>
      </c>
      <c r="AI254">
        <v>0</v>
      </c>
    </row>
    <row r="255" spans="1:35" x14ac:dyDescent="0.25">
      <c r="A255">
        <v>2025</v>
      </c>
      <c r="B255" t="s">
        <v>238</v>
      </c>
      <c r="C255" t="s">
        <v>41</v>
      </c>
      <c r="D255" t="str" cm="1">
        <f t="array" ref="D255">_xlfn.XLOOKUP(1,('26 WR'!A:A=E255)*('26 WR'!B:B=F255),'26 WR'!C:C)</f>
        <v>Deebo Samuel Sr.</v>
      </c>
      <c r="E255" t="s">
        <v>20</v>
      </c>
      <c r="F255">
        <v>74</v>
      </c>
      <c r="G255">
        <f>VLOOKUP(B255,[2]FantasyPros_2025_Overall_ADP_Ra!$B$2:$E$416,4,FALSE)</f>
        <v>194</v>
      </c>
      <c r="H255">
        <v>11.5</v>
      </c>
      <c r="I255">
        <v>14.4</v>
      </c>
      <c r="J255">
        <v>2.2999999999999998</v>
      </c>
      <c r="K255">
        <v>0</v>
      </c>
      <c r="L255">
        <v>6.6</v>
      </c>
      <c r="M255">
        <v>4</v>
      </c>
      <c r="N255">
        <v>0</v>
      </c>
      <c r="O255">
        <v>2.4</v>
      </c>
      <c r="P255">
        <v>0</v>
      </c>
      <c r="Q255">
        <v>3.6</v>
      </c>
      <c r="R255">
        <v>2.1</v>
      </c>
      <c r="S255">
        <v>3.3</v>
      </c>
      <c r="T255">
        <v>4.5</v>
      </c>
      <c r="U255">
        <v>0</v>
      </c>
      <c r="V255">
        <v>67</v>
      </c>
      <c r="W255">
        <v>3.9</v>
      </c>
      <c r="X255">
        <v>17</v>
      </c>
      <c r="Y255">
        <v>1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0.11764705882352941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>
        <v>2025</v>
      </c>
      <c r="B256" t="s">
        <v>240</v>
      </c>
      <c r="C256" t="s">
        <v>29</v>
      </c>
      <c r="D256" t="str" cm="1">
        <f t="array" ref="D256">_xlfn.XLOOKUP(1,('26 WR'!A:A=E256)*('26 WR'!B:B=F256),'26 WR'!C:C)</f>
        <v>Pat Bryant</v>
      </c>
      <c r="E256" t="s">
        <v>20</v>
      </c>
      <c r="F256">
        <v>75</v>
      </c>
      <c r="G256">
        <f>VLOOKUP(B256,[2]FantasyPros_2025_Overall_ADP_Ra!$B$2:$E$416,4,FALSE)</f>
        <v>196</v>
      </c>
      <c r="H256">
        <v>0</v>
      </c>
      <c r="I256">
        <v>2.9</v>
      </c>
      <c r="J256">
        <v>7.7</v>
      </c>
      <c r="K256">
        <v>0</v>
      </c>
      <c r="L256">
        <v>7.6</v>
      </c>
      <c r="M256">
        <v>1</v>
      </c>
      <c r="N256">
        <v>3.8</v>
      </c>
      <c r="O256">
        <v>0</v>
      </c>
      <c r="P256">
        <v>0</v>
      </c>
      <c r="Q256">
        <v>9.4</v>
      </c>
      <c r="R256">
        <v>6.3</v>
      </c>
      <c r="S256">
        <v>10.199999999999999</v>
      </c>
      <c r="T256">
        <v>2.1</v>
      </c>
      <c r="U256">
        <v>7.1</v>
      </c>
      <c r="V256">
        <v>73.099999999999994</v>
      </c>
      <c r="W256">
        <v>4.3</v>
      </c>
      <c r="X256">
        <v>17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5.8823529411764705E-2</v>
      </c>
      <c r="AF256">
        <v>0</v>
      </c>
      <c r="AG256">
        <v>0</v>
      </c>
      <c r="AH256">
        <v>0</v>
      </c>
      <c r="AI256">
        <v>0</v>
      </c>
    </row>
    <row r="257" spans="1:35" x14ac:dyDescent="0.25">
      <c r="A257">
        <v>2025</v>
      </c>
      <c r="B257" t="s">
        <v>243</v>
      </c>
      <c r="C257" t="s">
        <v>98</v>
      </c>
      <c r="D257" t="str" cm="1">
        <f t="array" ref="D257">_xlfn.XLOOKUP(1,('26 WR'!A:A=E257)*('26 WR'!B:B=F257),'26 WR'!C:C)</f>
        <v>Chimere Dike</v>
      </c>
      <c r="E257" t="s">
        <v>20</v>
      </c>
      <c r="F257">
        <v>76</v>
      </c>
      <c r="G257">
        <f>VLOOKUP(B257,[2]FantasyPros_2025_Overall_ADP_Ra!$B$2:$E$416,4,FALSE)</f>
        <v>198</v>
      </c>
      <c r="H257">
        <v>8.4</v>
      </c>
      <c r="I257">
        <v>24</v>
      </c>
      <c r="J257">
        <v>2.8</v>
      </c>
      <c r="K257">
        <v>9.5</v>
      </c>
      <c r="L257">
        <v>8.5</v>
      </c>
      <c r="M257">
        <v>3.1</v>
      </c>
      <c r="N257">
        <v>12.9</v>
      </c>
      <c r="O257">
        <v>26.9</v>
      </c>
      <c r="P257">
        <v>8.3000000000000007</v>
      </c>
      <c r="Q257">
        <v>15</v>
      </c>
      <c r="R257">
        <v>12.4</v>
      </c>
      <c r="S257">
        <v>0</v>
      </c>
      <c r="T257">
        <v>4.0999999999999996</v>
      </c>
      <c r="U257">
        <v>4.0999999999999996</v>
      </c>
      <c r="V257">
        <v>177.1</v>
      </c>
      <c r="W257">
        <v>10.4</v>
      </c>
      <c r="X257">
        <v>17</v>
      </c>
      <c r="Y257">
        <v>1</v>
      </c>
      <c r="Z257">
        <v>7</v>
      </c>
      <c r="AA257">
        <v>3</v>
      </c>
      <c r="AB257">
        <v>3</v>
      </c>
      <c r="AC257">
        <v>1</v>
      </c>
      <c r="AD257">
        <v>0</v>
      </c>
      <c r="AE257">
        <v>0.41176470588235292</v>
      </c>
      <c r="AF257">
        <v>0.17647058823529413</v>
      </c>
      <c r="AG257">
        <v>0.17647058823529413</v>
      </c>
      <c r="AH257">
        <v>5.8823529411764705E-2</v>
      </c>
      <c r="AI257">
        <v>0</v>
      </c>
    </row>
    <row r="258" spans="1:35" x14ac:dyDescent="0.25">
      <c r="A258">
        <v>2025</v>
      </c>
      <c r="B258" t="s">
        <v>244</v>
      </c>
      <c r="C258" t="s">
        <v>21</v>
      </c>
      <c r="D258" t="str" cm="1">
        <f t="array" ref="D258">_xlfn.XLOOKUP(1,('26 WR'!A:A=E258)*('26 WR'!B:B=F258),'26 WR'!C:C)</f>
        <v>Malik Washington</v>
      </c>
      <c r="E258" t="s">
        <v>20</v>
      </c>
      <c r="F258">
        <v>77</v>
      </c>
      <c r="G258">
        <f>VLOOKUP(B258,[2]FantasyPros_2025_Overall_ADP_Ra!$B$2:$E$416,4,FALSE)</f>
        <v>201</v>
      </c>
      <c r="H258">
        <v>0</v>
      </c>
      <c r="I258">
        <v>2.2000000000000002</v>
      </c>
      <c r="J258">
        <v>0</v>
      </c>
      <c r="K258">
        <v>3.7</v>
      </c>
      <c r="L258">
        <v>13.2</v>
      </c>
      <c r="M258">
        <v>1.5</v>
      </c>
      <c r="N258">
        <v>7.9</v>
      </c>
      <c r="O258">
        <v>0</v>
      </c>
      <c r="P258">
        <v>18</v>
      </c>
      <c r="Q258">
        <v>0</v>
      </c>
      <c r="R258">
        <v>5</v>
      </c>
      <c r="S258">
        <v>10.6</v>
      </c>
      <c r="T258">
        <v>9.9</v>
      </c>
      <c r="U258">
        <v>3.7</v>
      </c>
      <c r="V258">
        <v>89.9</v>
      </c>
      <c r="W258">
        <v>5.3</v>
      </c>
      <c r="X258">
        <v>17</v>
      </c>
      <c r="Y258">
        <v>1</v>
      </c>
      <c r="Z258">
        <v>3</v>
      </c>
      <c r="AA258">
        <v>1</v>
      </c>
      <c r="AB258">
        <v>0</v>
      </c>
      <c r="AC258">
        <v>0</v>
      </c>
      <c r="AD258">
        <v>0</v>
      </c>
      <c r="AE258">
        <v>0.17647058823529413</v>
      </c>
      <c r="AF258">
        <v>5.8823529411764705E-2</v>
      </c>
      <c r="AG258">
        <v>0</v>
      </c>
      <c r="AH258">
        <v>0</v>
      </c>
      <c r="AI258">
        <v>0</v>
      </c>
    </row>
    <row r="259" spans="1:35" x14ac:dyDescent="0.25">
      <c r="A259">
        <v>2025</v>
      </c>
      <c r="B259" t="s">
        <v>245</v>
      </c>
      <c r="C259" t="s">
        <v>92</v>
      </c>
      <c r="D259" t="str" cm="1">
        <f t="array" ref="D259">_xlfn.XLOOKUP(1,('26 WR'!A:A=E259)*('26 WR'!B:B=F259),'26 WR'!C:C)</f>
        <v>Brandon Aiyuk</v>
      </c>
      <c r="E259" t="s">
        <v>20</v>
      </c>
      <c r="F259">
        <v>78</v>
      </c>
      <c r="G259">
        <f>VLOOKUP(B259,[2]FantasyPros_2025_Overall_ADP_Ra!$B$2:$E$416,4,FALSE)</f>
        <v>203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6.6</v>
      </c>
      <c r="P259">
        <v>1.9</v>
      </c>
      <c r="Q259">
        <v>5.0999999999999996</v>
      </c>
      <c r="R259">
        <v>11.2</v>
      </c>
      <c r="S259">
        <v>6.2</v>
      </c>
      <c r="T259">
        <v>17.399999999999999</v>
      </c>
      <c r="U259">
        <v>0</v>
      </c>
      <c r="V259">
        <v>90.4</v>
      </c>
      <c r="W259">
        <v>8.1999999999999993</v>
      </c>
      <c r="X259">
        <v>17</v>
      </c>
      <c r="Y259">
        <v>1</v>
      </c>
      <c r="Z259">
        <v>4</v>
      </c>
      <c r="AA259">
        <v>2</v>
      </c>
      <c r="AB259">
        <v>0</v>
      </c>
      <c r="AC259">
        <v>0</v>
      </c>
      <c r="AD259">
        <v>0</v>
      </c>
      <c r="AE259">
        <v>0.23529411764705882</v>
      </c>
      <c r="AF259">
        <v>0.18181818181818182</v>
      </c>
      <c r="AG259">
        <v>0</v>
      </c>
      <c r="AH259">
        <v>0</v>
      </c>
      <c r="AI259">
        <v>0</v>
      </c>
    </row>
    <row r="260" spans="1:35" x14ac:dyDescent="0.25">
      <c r="A260">
        <v>2025</v>
      </c>
      <c r="B260" t="s">
        <v>246</v>
      </c>
      <c r="C260" t="s">
        <v>43</v>
      </c>
      <c r="D260" t="str" cm="1">
        <f t="array" ref="D260">_xlfn.XLOOKUP(1,('26 WR'!A:A=E260)*('26 WR'!B:B=F260),'26 WR'!C:C)</f>
        <v>Dontayvion Wicks</v>
      </c>
      <c r="E260" t="s">
        <v>20</v>
      </c>
      <c r="F260">
        <v>79</v>
      </c>
      <c r="G260">
        <f>VLOOKUP(B260,[2]FantasyPros_2025_Overall_ADP_Ra!$B$2:$E$416,4,FALSE)</f>
        <v>204</v>
      </c>
      <c r="H260">
        <v>0</v>
      </c>
      <c r="I260">
        <v>8.1</v>
      </c>
      <c r="J260">
        <v>7</v>
      </c>
      <c r="K260">
        <v>7.4</v>
      </c>
      <c r="L260">
        <v>4.0999999999999996</v>
      </c>
      <c r="M260">
        <v>0</v>
      </c>
      <c r="N260">
        <v>0</v>
      </c>
      <c r="O260">
        <v>4.5999999999999996</v>
      </c>
      <c r="P260">
        <v>11.2</v>
      </c>
      <c r="Q260">
        <v>12.9</v>
      </c>
      <c r="R260">
        <v>0</v>
      </c>
      <c r="S260">
        <v>3.3</v>
      </c>
      <c r="T260">
        <v>14.1</v>
      </c>
      <c r="U260">
        <v>0</v>
      </c>
      <c r="V260">
        <v>98.8</v>
      </c>
      <c r="W260">
        <v>7.1</v>
      </c>
      <c r="X260">
        <v>17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0</v>
      </c>
      <c r="AE260">
        <v>0.17647058823529413</v>
      </c>
      <c r="AF260">
        <v>0</v>
      </c>
      <c r="AG260">
        <v>0</v>
      </c>
      <c r="AH260">
        <v>0</v>
      </c>
      <c r="AI260">
        <v>0</v>
      </c>
    </row>
    <row r="261" spans="1:35" x14ac:dyDescent="0.25">
      <c r="A261">
        <v>2025</v>
      </c>
      <c r="B261" t="s">
        <v>247</v>
      </c>
      <c r="C261" t="s">
        <v>45</v>
      </c>
      <c r="D261" t="str" cm="1">
        <f t="array" ref="D261">_xlfn.XLOOKUP(1,('26 WR'!A:A=E261)*('26 WR'!B:B=F261),'26 WR'!C:C)</f>
        <v>Jalen Nailor</v>
      </c>
      <c r="E261" t="s">
        <v>20</v>
      </c>
      <c r="F261">
        <v>80</v>
      </c>
      <c r="G261">
        <f>VLOOKUP(B261,[2]FantasyPros_2025_Overall_ADP_Ra!$B$2:$E$416,4,FALSE)</f>
        <v>206</v>
      </c>
      <c r="H261">
        <v>1.5</v>
      </c>
      <c r="I261">
        <v>8.1</v>
      </c>
      <c r="J261">
        <v>1.5</v>
      </c>
      <c r="K261">
        <v>4.5</v>
      </c>
      <c r="L261">
        <v>3.6</v>
      </c>
      <c r="M261">
        <v>8.4</v>
      </c>
      <c r="N261">
        <v>7</v>
      </c>
      <c r="O261">
        <v>0</v>
      </c>
      <c r="P261">
        <v>9.1</v>
      </c>
      <c r="Q261">
        <v>7.4</v>
      </c>
      <c r="R261">
        <v>33.5</v>
      </c>
      <c r="S261">
        <v>21.8</v>
      </c>
      <c r="T261">
        <v>6.6</v>
      </c>
      <c r="U261">
        <v>37.200000000000003</v>
      </c>
      <c r="V261">
        <v>220.6</v>
      </c>
      <c r="W261">
        <v>13</v>
      </c>
      <c r="X261">
        <v>18</v>
      </c>
      <c r="Y261">
        <v>1</v>
      </c>
      <c r="Z261">
        <v>7</v>
      </c>
      <c r="AA261">
        <v>6</v>
      </c>
      <c r="AB261">
        <v>4</v>
      </c>
      <c r="AC261">
        <v>2</v>
      </c>
      <c r="AD261">
        <v>2</v>
      </c>
      <c r="AE261">
        <v>0.41176470588235292</v>
      </c>
      <c r="AF261">
        <v>0.35294117647058826</v>
      </c>
      <c r="AG261">
        <v>0.23529411764705882</v>
      </c>
      <c r="AH261">
        <v>0.11764705882352941</v>
      </c>
      <c r="AI261">
        <v>0.11764705882352941</v>
      </c>
    </row>
    <row r="262" spans="1:35" x14ac:dyDescent="0.25">
      <c r="A262">
        <v>2025</v>
      </c>
      <c r="B262" t="s">
        <v>253</v>
      </c>
      <c r="C262" t="s">
        <v>29</v>
      </c>
      <c r="D262" t="str" cm="1">
        <f t="array" ref="D262">_xlfn.XLOOKUP(1,('26 WR'!A:A=E262)*('26 WR'!B:B=F262),'26 WR'!C:C)</f>
        <v>Antonio Williams</v>
      </c>
      <c r="E262" t="s">
        <v>20</v>
      </c>
      <c r="F262">
        <v>81</v>
      </c>
      <c r="G262">
        <f>VLOOKUP(B262,[2]FantasyPros_2025_Overall_ADP_Ra!$B$2:$E$416,4,FALSE)</f>
        <v>216</v>
      </c>
      <c r="H262">
        <v>3.3</v>
      </c>
      <c r="I262">
        <v>0</v>
      </c>
      <c r="J262">
        <v>2</v>
      </c>
      <c r="K262">
        <v>0</v>
      </c>
      <c r="L262">
        <v>5.7</v>
      </c>
      <c r="M262">
        <v>0</v>
      </c>
      <c r="N262">
        <v>3.3</v>
      </c>
      <c r="O262">
        <v>0</v>
      </c>
      <c r="P262">
        <v>0</v>
      </c>
      <c r="Q262">
        <v>0</v>
      </c>
      <c r="R262">
        <v>2.9</v>
      </c>
      <c r="S262">
        <v>0</v>
      </c>
      <c r="T262">
        <v>4.2</v>
      </c>
      <c r="U262">
        <v>11</v>
      </c>
      <c r="V262">
        <v>42.4</v>
      </c>
      <c r="W262">
        <v>2.7</v>
      </c>
      <c r="X262">
        <v>20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5.8823529411764705E-2</v>
      </c>
      <c r="AF262">
        <v>0</v>
      </c>
      <c r="AG262">
        <v>0</v>
      </c>
      <c r="AH262">
        <v>0</v>
      </c>
      <c r="AI262">
        <v>0</v>
      </c>
    </row>
    <row r="263" spans="1:35" x14ac:dyDescent="0.25">
      <c r="A263">
        <v>2025</v>
      </c>
      <c r="B263" t="s">
        <v>256</v>
      </c>
      <c r="C263" t="s">
        <v>59</v>
      </c>
      <c r="D263" t="str" cm="1">
        <f t="array" ref="D263">_xlfn.XLOOKUP(1,('26 WR'!A:A=E263)*('26 WR'!B:B=F263),'26 WR'!C:C)</f>
        <v>De'Zhaun Stribling</v>
      </c>
      <c r="E263" t="s">
        <v>20</v>
      </c>
      <c r="F263">
        <v>82</v>
      </c>
      <c r="G263">
        <f>VLOOKUP(B263,[2]FantasyPros_2025_Overall_ADP_Ra!$B$2:$E$416,4,FALSE)</f>
        <v>221</v>
      </c>
      <c r="H263">
        <v>4.9000000000000004</v>
      </c>
      <c r="I263">
        <v>9.5</v>
      </c>
      <c r="J263">
        <v>6.2</v>
      </c>
      <c r="K263">
        <v>4.0999999999999996</v>
      </c>
      <c r="L263">
        <v>4</v>
      </c>
      <c r="M263">
        <v>6.3</v>
      </c>
      <c r="N263">
        <v>8</v>
      </c>
      <c r="O263">
        <v>13.6</v>
      </c>
      <c r="P263">
        <v>7.1</v>
      </c>
      <c r="Q263">
        <v>9.3000000000000007</v>
      </c>
      <c r="R263">
        <v>7.2</v>
      </c>
      <c r="S263">
        <v>0</v>
      </c>
      <c r="T263">
        <v>7</v>
      </c>
      <c r="U263">
        <v>4</v>
      </c>
      <c r="V263">
        <v>116.7</v>
      </c>
      <c r="W263">
        <v>6.9</v>
      </c>
      <c r="X263">
        <v>19</v>
      </c>
      <c r="Y263">
        <v>1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0.17647058823529413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>
        <v>2025</v>
      </c>
      <c r="B264" t="s">
        <v>258</v>
      </c>
      <c r="C264" t="s">
        <v>108</v>
      </c>
      <c r="D264" t="str" cm="1">
        <f t="array" ref="D264">_xlfn.XLOOKUP(1,('26 WR'!A:A=E264)*('26 WR'!B:B=F264),'26 WR'!C:C)</f>
        <v>Germie Bernard</v>
      </c>
      <c r="E264" t="s">
        <v>20</v>
      </c>
      <c r="F264">
        <v>83</v>
      </c>
      <c r="G264">
        <f>VLOOKUP(B264,[2]FantasyPros_2025_Overall_ADP_Ra!$B$2:$E$416,4,FALSE)</f>
        <v>225</v>
      </c>
      <c r="H264">
        <v>17</v>
      </c>
      <c r="I264">
        <v>3.2</v>
      </c>
      <c r="J264">
        <v>12.4</v>
      </c>
      <c r="K264">
        <v>3.3</v>
      </c>
      <c r="L264">
        <v>0</v>
      </c>
      <c r="M264">
        <v>0</v>
      </c>
      <c r="N264">
        <v>0</v>
      </c>
      <c r="O264">
        <v>6.8</v>
      </c>
      <c r="P264">
        <v>10.6</v>
      </c>
      <c r="Q264">
        <v>3.4</v>
      </c>
      <c r="R264">
        <v>1.5</v>
      </c>
      <c r="S264">
        <v>7.6</v>
      </c>
      <c r="T264">
        <v>0</v>
      </c>
      <c r="U264">
        <v>4.0999999999999996</v>
      </c>
      <c r="V264">
        <v>86.2</v>
      </c>
      <c r="W264">
        <v>6.2</v>
      </c>
      <c r="X264">
        <v>19</v>
      </c>
      <c r="Y264">
        <v>1</v>
      </c>
      <c r="Z264">
        <v>4</v>
      </c>
      <c r="AA264">
        <v>1</v>
      </c>
      <c r="AB264">
        <v>0</v>
      </c>
      <c r="AC264">
        <v>0</v>
      </c>
      <c r="AD264">
        <v>0</v>
      </c>
      <c r="AE264">
        <v>0.23529411764705882</v>
      </c>
      <c r="AF264">
        <v>7.1428571428571425E-2</v>
      </c>
      <c r="AG264">
        <v>0</v>
      </c>
      <c r="AH264">
        <v>0</v>
      </c>
      <c r="AI264">
        <v>0</v>
      </c>
    </row>
    <row r="265" spans="1:35" x14ac:dyDescent="0.25">
      <c r="A265">
        <v>2025</v>
      </c>
      <c r="B265" t="s">
        <v>259</v>
      </c>
      <c r="C265" t="s">
        <v>51</v>
      </c>
      <c r="D265" t="str" cm="1">
        <f t="array" ref="D265">_xlfn.XLOOKUP(1,('26 WR'!A:A=E265)*('26 WR'!B:B=F265),'26 WR'!C:C)</f>
        <v>Cooper Kupp</v>
      </c>
      <c r="E265" t="s">
        <v>20</v>
      </c>
      <c r="F265">
        <v>84</v>
      </c>
      <c r="G265">
        <f>VLOOKUP(B265,[2]FantasyPros_2025_Overall_ADP_Ra!$B$2:$E$416,4,FALSE)</f>
        <v>227</v>
      </c>
      <c r="H265">
        <v>8.8000000000000007</v>
      </c>
      <c r="I265">
        <v>17.600000000000001</v>
      </c>
      <c r="J265">
        <v>2.7</v>
      </c>
      <c r="K265">
        <v>0</v>
      </c>
      <c r="L265">
        <v>3.5</v>
      </c>
      <c r="M265">
        <v>4</v>
      </c>
      <c r="N265">
        <v>7</v>
      </c>
      <c r="O265">
        <v>0</v>
      </c>
      <c r="P265">
        <v>5.9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49.7</v>
      </c>
      <c r="W265">
        <v>3.3</v>
      </c>
      <c r="X265">
        <v>19</v>
      </c>
      <c r="Y265">
        <v>1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5.8823529411764705E-2</v>
      </c>
      <c r="AF265">
        <v>6.6666666666666666E-2</v>
      </c>
      <c r="AG265">
        <v>0</v>
      </c>
      <c r="AH265">
        <v>0</v>
      </c>
      <c r="AI265">
        <v>0</v>
      </c>
    </row>
    <row r="266" spans="1:35" x14ac:dyDescent="0.25">
      <c r="A266">
        <v>2025</v>
      </c>
      <c r="B266" t="s">
        <v>263</v>
      </c>
      <c r="C266" t="s">
        <v>31</v>
      </c>
      <c r="D266" t="str" cm="1">
        <f t="array" ref="D266">_xlfn.XLOOKUP(1,('26 WR'!A:A=E266)*('26 WR'!B:B=F266),'26 WR'!C:C)</f>
        <v>Tank Dell</v>
      </c>
      <c r="E266" t="s">
        <v>20</v>
      </c>
      <c r="F266">
        <v>85</v>
      </c>
      <c r="G266">
        <f>VLOOKUP(B266,[2]FantasyPros_2025_Overall_ADP_Ra!$B$2:$E$416,4,FALSE)</f>
        <v>233</v>
      </c>
      <c r="H266">
        <v>3.8</v>
      </c>
      <c r="I266">
        <v>6.1</v>
      </c>
      <c r="J266">
        <v>6.7</v>
      </c>
      <c r="K266">
        <v>9.1999999999999993</v>
      </c>
      <c r="L266">
        <v>7.2</v>
      </c>
      <c r="M266">
        <v>0</v>
      </c>
      <c r="N266">
        <v>5.7</v>
      </c>
      <c r="O266">
        <v>0</v>
      </c>
      <c r="P266">
        <v>2.6</v>
      </c>
      <c r="Q266">
        <v>23.4</v>
      </c>
      <c r="R266">
        <v>2.6</v>
      </c>
      <c r="S266">
        <v>0</v>
      </c>
      <c r="T266">
        <v>0</v>
      </c>
      <c r="U266">
        <v>6</v>
      </c>
      <c r="V266">
        <v>100.7</v>
      </c>
      <c r="W266">
        <v>5.9</v>
      </c>
      <c r="X266">
        <v>20</v>
      </c>
      <c r="Y266">
        <v>1</v>
      </c>
      <c r="Z266">
        <v>2</v>
      </c>
      <c r="AA266">
        <v>2</v>
      </c>
      <c r="AB266">
        <v>1</v>
      </c>
      <c r="AC266">
        <v>0</v>
      </c>
      <c r="AD266">
        <v>0</v>
      </c>
      <c r="AE266">
        <v>0.11764705882352941</v>
      </c>
      <c r="AF266">
        <v>0.11764705882352941</v>
      </c>
      <c r="AG266">
        <v>5.8823529411764705E-2</v>
      </c>
      <c r="AH266">
        <v>0</v>
      </c>
      <c r="AI266">
        <v>0</v>
      </c>
    </row>
    <row r="267" spans="1:35" x14ac:dyDescent="0.25">
      <c r="A267">
        <v>2025</v>
      </c>
      <c r="B267" t="s">
        <v>357</v>
      </c>
      <c r="C267" t="s">
        <v>85</v>
      </c>
      <c r="D267" t="str" cm="1">
        <f t="array" ref="D267">_xlfn.XLOOKUP(1,('26 WR'!A:A=E267)*('26 WR'!B:B=F267),'26 WR'!C:C)</f>
        <v>Ted Hurst III</v>
      </c>
      <c r="E267" t="s">
        <v>20</v>
      </c>
      <c r="F267">
        <v>86</v>
      </c>
      <c r="G267">
        <v>235</v>
      </c>
      <c r="H267">
        <v>10.5</v>
      </c>
      <c r="I267">
        <v>1.5</v>
      </c>
      <c r="J267">
        <v>9.5</v>
      </c>
      <c r="K267">
        <v>13.6</v>
      </c>
      <c r="L267">
        <v>3.7</v>
      </c>
      <c r="M267">
        <v>8.6999999999999993</v>
      </c>
      <c r="N267">
        <v>6.5</v>
      </c>
      <c r="O267">
        <v>4.9000000000000004</v>
      </c>
      <c r="P267">
        <v>1.2</v>
      </c>
      <c r="Q267">
        <v>0</v>
      </c>
      <c r="R267">
        <v>0</v>
      </c>
      <c r="S267">
        <v>1.8</v>
      </c>
      <c r="T267">
        <v>0</v>
      </c>
      <c r="U267">
        <v>1.5</v>
      </c>
      <c r="V267">
        <v>73.5</v>
      </c>
      <c r="W267">
        <v>4.3</v>
      </c>
      <c r="X267">
        <v>20</v>
      </c>
      <c r="Y267">
        <v>1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0.11764705882352941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2025</v>
      </c>
      <c r="B268" t="s">
        <v>270</v>
      </c>
      <c r="C268" t="s">
        <v>37</v>
      </c>
      <c r="D268" t="str" cm="1">
        <f t="array" ref="D268">_xlfn.XLOOKUP(1,('26 WR'!A:A=E268)*('26 WR'!B:B=F268),'26 WR'!C:C)</f>
        <v>Elic Ayomanor</v>
      </c>
      <c r="E268" t="s">
        <v>20</v>
      </c>
      <c r="F268">
        <v>87</v>
      </c>
      <c r="G268">
        <f>VLOOKUP(B268,[2]FantasyPros_2025_Overall_ADP_Ra!$B$2:$E$416,4,FALSE)</f>
        <v>254</v>
      </c>
      <c r="H268">
        <v>3.6</v>
      </c>
      <c r="I268">
        <v>3.3</v>
      </c>
      <c r="J268">
        <v>1.4</v>
      </c>
      <c r="K268">
        <v>9.3000000000000007</v>
      </c>
      <c r="L268">
        <v>0</v>
      </c>
      <c r="M268">
        <v>0</v>
      </c>
      <c r="N268">
        <v>4.7</v>
      </c>
      <c r="O268">
        <v>0</v>
      </c>
      <c r="P268">
        <v>0</v>
      </c>
      <c r="Q268">
        <v>9.9</v>
      </c>
      <c r="R268">
        <v>0</v>
      </c>
      <c r="S268">
        <v>5.7</v>
      </c>
      <c r="T268">
        <v>0</v>
      </c>
      <c r="U268">
        <v>0</v>
      </c>
      <c r="V268">
        <v>66.8</v>
      </c>
      <c r="W268">
        <v>4.5</v>
      </c>
      <c r="X268">
        <v>20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5.8823529411764705E-2</v>
      </c>
      <c r="AF268">
        <v>6.6666666666666666E-2</v>
      </c>
      <c r="AG268">
        <v>0</v>
      </c>
      <c r="AH268">
        <v>0</v>
      </c>
      <c r="AI268">
        <v>0</v>
      </c>
    </row>
    <row r="269" spans="1:35" x14ac:dyDescent="0.25">
      <c r="A269">
        <v>2025</v>
      </c>
      <c r="B269" t="s">
        <v>271</v>
      </c>
      <c r="C269" t="s">
        <v>57</v>
      </c>
      <c r="D269" t="str" cm="1">
        <f t="array" ref="D269">_xlfn.XLOOKUP(1,('26 WR'!A:A=E269)*('26 WR'!B:B=F269),'26 WR'!C:C)</f>
        <v>Rashod Bateman</v>
      </c>
      <c r="E269" t="s">
        <v>20</v>
      </c>
      <c r="F269">
        <v>88</v>
      </c>
      <c r="G269">
        <f>VLOOKUP(B269,[2]FantasyPros_2025_Overall_ADP_Ra!$B$2:$E$416,4,FALSE)</f>
        <v>257</v>
      </c>
      <c r="H269">
        <v>0</v>
      </c>
      <c r="I269">
        <v>0</v>
      </c>
      <c r="J269">
        <v>0</v>
      </c>
      <c r="K269">
        <v>2.2999999999999998</v>
      </c>
      <c r="L269">
        <v>10.1</v>
      </c>
      <c r="M269">
        <v>11.5</v>
      </c>
      <c r="N269">
        <v>15.8</v>
      </c>
      <c r="O269">
        <v>9.3000000000000007</v>
      </c>
      <c r="P269">
        <v>0</v>
      </c>
      <c r="Q269">
        <v>20.2</v>
      </c>
      <c r="R269">
        <v>1.6</v>
      </c>
      <c r="S269">
        <v>12.3</v>
      </c>
      <c r="T269">
        <v>1.5</v>
      </c>
      <c r="U269">
        <v>0</v>
      </c>
      <c r="V269">
        <v>92.6</v>
      </c>
      <c r="W269">
        <v>5.8</v>
      </c>
      <c r="X269">
        <v>20</v>
      </c>
      <c r="Y269">
        <v>1</v>
      </c>
      <c r="Z269">
        <v>5</v>
      </c>
      <c r="AA269">
        <v>2</v>
      </c>
      <c r="AB269">
        <v>1</v>
      </c>
      <c r="AC269">
        <v>0</v>
      </c>
      <c r="AD269">
        <v>0</v>
      </c>
      <c r="AE269">
        <v>0.29411764705882354</v>
      </c>
      <c r="AF269">
        <v>0.125</v>
      </c>
      <c r="AG269">
        <v>6.25E-2</v>
      </c>
      <c r="AH269">
        <v>0</v>
      </c>
      <c r="AI269">
        <v>0</v>
      </c>
    </row>
    <row r="270" spans="1:35" x14ac:dyDescent="0.25">
      <c r="A270">
        <v>2025</v>
      </c>
      <c r="B270" t="s">
        <v>272</v>
      </c>
      <c r="C270" t="s">
        <v>80</v>
      </c>
      <c r="D270" t="str" cm="1">
        <f t="array" ref="D270">_xlfn.XLOOKUP(1,('26 WR'!A:A=E270)*('26 WR'!B:B=F270),'26 WR'!C:C)</f>
        <v>Zachariah Branch</v>
      </c>
      <c r="E270" t="s">
        <v>20</v>
      </c>
      <c r="F270">
        <v>89</v>
      </c>
      <c r="G270">
        <f>VLOOKUP(B270,[2]FantasyPros_2025_Overall_ADP_Ra!$B$2:$E$416,4,FALSE)</f>
        <v>258</v>
      </c>
      <c r="H270">
        <v>0</v>
      </c>
      <c r="I270">
        <v>4.9000000000000004</v>
      </c>
      <c r="J270">
        <v>14.6</v>
      </c>
      <c r="K270">
        <v>10.1</v>
      </c>
      <c r="L270">
        <v>6</v>
      </c>
      <c r="M270">
        <v>10.3</v>
      </c>
      <c r="N270">
        <v>0</v>
      </c>
      <c r="O270">
        <v>5.4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51.3</v>
      </c>
      <c r="W270">
        <v>5.7</v>
      </c>
      <c r="X270">
        <v>20</v>
      </c>
      <c r="Y270">
        <v>1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0.17647058823529413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>
        <v>2025</v>
      </c>
      <c r="B271" t="s">
        <v>273</v>
      </c>
      <c r="C271" t="s">
        <v>35</v>
      </c>
      <c r="D271" t="str" cm="1">
        <f t="array" ref="D271">_xlfn.XLOOKUP(1,('26 WR'!A:A=E271)*('26 WR'!B:B=F271),'26 WR'!C:C)</f>
        <v>Tyreek Hill</v>
      </c>
      <c r="E271" t="s">
        <v>20</v>
      </c>
      <c r="F271">
        <v>90</v>
      </c>
      <c r="G271">
        <f>VLOOKUP(B271,[2]FantasyPros_2025_Overall_ADP_Ra!$B$2:$E$416,4,FALSE)</f>
        <v>260</v>
      </c>
      <c r="H271">
        <v>1</v>
      </c>
      <c r="I271">
        <v>3.6</v>
      </c>
      <c r="J271">
        <v>7.4</v>
      </c>
      <c r="K271">
        <v>10.1</v>
      </c>
      <c r="L271">
        <v>0</v>
      </c>
      <c r="M271">
        <v>1.8</v>
      </c>
      <c r="N271">
        <v>2.6</v>
      </c>
      <c r="O271">
        <v>12.7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46.3</v>
      </c>
      <c r="W271">
        <v>3.6</v>
      </c>
      <c r="X271">
        <v>20</v>
      </c>
      <c r="Y271">
        <v>1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0.11764705882352941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>
        <v>2025</v>
      </c>
      <c r="B272" t="s">
        <v>275</v>
      </c>
      <c r="C272" t="s">
        <v>110</v>
      </c>
      <c r="D272" t="str" cm="1">
        <f t="array" ref="D272">_xlfn.XLOOKUP(1,('26 WR'!A:A=E272)*('26 WR'!B:B=F272),'26 WR'!C:C)</f>
        <v>Jack Bech</v>
      </c>
      <c r="E272" t="s">
        <v>20</v>
      </c>
      <c r="F272">
        <v>91</v>
      </c>
      <c r="G272">
        <f>VLOOKUP(B272,[2]FantasyPros_2025_Overall_ADP_Ra!$B$2:$E$416,4,FALSE)</f>
        <v>264</v>
      </c>
      <c r="H272">
        <v>8.1999999999999993</v>
      </c>
      <c r="I272">
        <v>4.0999999999999996</v>
      </c>
      <c r="J272">
        <v>6.6</v>
      </c>
      <c r="K272">
        <v>9.1</v>
      </c>
      <c r="L272">
        <v>0</v>
      </c>
      <c r="M272">
        <v>4.8</v>
      </c>
      <c r="N272">
        <v>2.9</v>
      </c>
      <c r="O272">
        <v>10.3</v>
      </c>
      <c r="P272">
        <v>17.8</v>
      </c>
      <c r="Q272">
        <v>1.5</v>
      </c>
      <c r="R272">
        <v>0</v>
      </c>
      <c r="S272">
        <v>1.6</v>
      </c>
      <c r="T272">
        <v>3.9</v>
      </c>
      <c r="U272">
        <v>8.6999999999999993</v>
      </c>
      <c r="V272">
        <v>84.8</v>
      </c>
      <c r="W272">
        <v>5.3</v>
      </c>
      <c r="X272">
        <v>20</v>
      </c>
      <c r="Y272">
        <v>1</v>
      </c>
      <c r="Z272">
        <v>2</v>
      </c>
      <c r="AA272">
        <v>1</v>
      </c>
      <c r="AB272">
        <v>0</v>
      </c>
      <c r="AC272">
        <v>0</v>
      </c>
      <c r="AD272">
        <v>0</v>
      </c>
      <c r="AE272">
        <v>0.11764705882352941</v>
      </c>
      <c r="AF272">
        <v>6.25E-2</v>
      </c>
      <c r="AG272">
        <v>0</v>
      </c>
      <c r="AH272">
        <v>0</v>
      </c>
      <c r="AI272">
        <v>0</v>
      </c>
    </row>
    <row r="273" spans="1:35" x14ac:dyDescent="0.25">
      <c r="A273">
        <v>2025</v>
      </c>
      <c r="B273" t="s">
        <v>276</v>
      </c>
      <c r="C273" t="s">
        <v>33</v>
      </c>
      <c r="D273" t="str" cm="1">
        <f t="array" ref="D273">_xlfn.XLOOKUP(1,('26 WR'!A:A=E273)*('26 WR'!B:B=F273),'26 WR'!C:C)</f>
        <v>Christian Kirk</v>
      </c>
      <c r="E273" t="s">
        <v>20</v>
      </c>
      <c r="F273">
        <v>92</v>
      </c>
      <c r="G273">
        <f>VLOOKUP(B273,[2]FantasyPros_2025_Overall_ADP_Ra!$B$2:$E$416,4,FALSE)</f>
        <v>266</v>
      </c>
      <c r="H273">
        <v>8.9</v>
      </c>
      <c r="I273">
        <v>1.4</v>
      </c>
      <c r="J273">
        <v>1.7</v>
      </c>
      <c r="K273">
        <v>0</v>
      </c>
      <c r="L273">
        <v>3.4</v>
      </c>
      <c r="M273">
        <v>2.7</v>
      </c>
      <c r="N273">
        <v>0</v>
      </c>
      <c r="O273">
        <v>11</v>
      </c>
      <c r="P273">
        <v>0</v>
      </c>
      <c r="Q273">
        <v>0</v>
      </c>
      <c r="R273">
        <v>6.3</v>
      </c>
      <c r="S273">
        <v>0</v>
      </c>
      <c r="T273">
        <v>2.2000000000000002</v>
      </c>
      <c r="U273">
        <v>1.3</v>
      </c>
      <c r="V273">
        <v>50.2</v>
      </c>
      <c r="W273">
        <v>3</v>
      </c>
      <c r="X273">
        <v>20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5.8823529411764705E-2</v>
      </c>
      <c r="AF273">
        <v>0</v>
      </c>
      <c r="AG273">
        <v>0</v>
      </c>
      <c r="AH273">
        <v>0</v>
      </c>
      <c r="AI273">
        <v>0</v>
      </c>
    </row>
    <row r="274" spans="1:35" x14ac:dyDescent="0.25">
      <c r="A274">
        <v>2025</v>
      </c>
      <c r="B274" t="s">
        <v>280</v>
      </c>
      <c r="C274" t="s">
        <v>68</v>
      </c>
      <c r="D274" t="str" cm="1">
        <f t="array" ref="D274">_xlfn.XLOOKUP(1,('26 WR'!A:A=E274)*('26 WR'!B:B=F274),'26 WR'!C:C)</f>
        <v>Keon Coleman</v>
      </c>
      <c r="E274" t="s">
        <v>20</v>
      </c>
      <c r="F274">
        <v>93</v>
      </c>
      <c r="G274">
        <f>VLOOKUP(B274,[2]FantasyPros_2025_Overall_ADP_Ra!$B$2:$E$416,4,FALSE)</f>
        <v>274</v>
      </c>
      <c r="H274">
        <v>0</v>
      </c>
      <c r="I274">
        <v>0</v>
      </c>
      <c r="J274">
        <v>4.4000000000000004</v>
      </c>
      <c r="K274">
        <v>0</v>
      </c>
      <c r="L274">
        <v>0</v>
      </c>
      <c r="M274">
        <v>5.7</v>
      </c>
      <c r="N274">
        <v>0</v>
      </c>
      <c r="O274">
        <v>0</v>
      </c>
      <c r="P274">
        <v>1.7</v>
      </c>
      <c r="Q274">
        <v>3.4</v>
      </c>
      <c r="R274">
        <v>19</v>
      </c>
      <c r="S274">
        <v>0</v>
      </c>
      <c r="T274">
        <v>0</v>
      </c>
      <c r="U274">
        <v>2.6</v>
      </c>
      <c r="V274">
        <v>45.5</v>
      </c>
      <c r="W274">
        <v>2.7</v>
      </c>
      <c r="X274">
        <v>20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5.8823529411764705E-2</v>
      </c>
      <c r="AF274">
        <v>5.8823529411764705E-2</v>
      </c>
      <c r="AG274">
        <v>0</v>
      </c>
      <c r="AH274">
        <v>0</v>
      </c>
      <c r="AI274">
        <v>0</v>
      </c>
    </row>
    <row r="275" spans="1:35" x14ac:dyDescent="0.25">
      <c r="A275">
        <v>2025</v>
      </c>
      <c r="B275" t="s">
        <v>281</v>
      </c>
      <c r="C275" t="s">
        <v>78</v>
      </c>
      <c r="D275" t="str" cm="1">
        <f t="array" ref="D275">_xlfn.XLOOKUP(1,('26 WR'!A:A=E275)*('26 WR'!B:B=F275),'26 WR'!C:C)</f>
        <v>Chris Bell</v>
      </c>
      <c r="E275" t="s">
        <v>20</v>
      </c>
      <c r="F275">
        <v>94</v>
      </c>
      <c r="G275">
        <f>VLOOKUP(B275,[2]FantasyPros_2025_Overall_ADP_Ra!$B$2:$E$416,4,FALSE)</f>
        <v>275</v>
      </c>
      <c r="H275">
        <v>1.3</v>
      </c>
      <c r="I275">
        <v>7.8</v>
      </c>
      <c r="J275">
        <v>6.7</v>
      </c>
      <c r="K275">
        <v>7.4</v>
      </c>
      <c r="L275">
        <v>0</v>
      </c>
      <c r="M275">
        <v>4.8</v>
      </c>
      <c r="N275">
        <v>7.3</v>
      </c>
      <c r="O275">
        <v>15.9</v>
      </c>
      <c r="P275">
        <v>2.9</v>
      </c>
      <c r="Q275">
        <v>16.600000000000001</v>
      </c>
      <c r="R275">
        <v>10.4</v>
      </c>
      <c r="S275">
        <v>5</v>
      </c>
      <c r="T275">
        <v>5.3</v>
      </c>
      <c r="U275">
        <v>0</v>
      </c>
      <c r="V275">
        <v>113.4</v>
      </c>
      <c r="W275">
        <v>7.6</v>
      </c>
      <c r="X275">
        <v>20</v>
      </c>
      <c r="Y275">
        <v>1</v>
      </c>
      <c r="Z275">
        <v>4</v>
      </c>
      <c r="AA275">
        <v>2</v>
      </c>
      <c r="AB275">
        <v>0</v>
      </c>
      <c r="AC275">
        <v>0</v>
      </c>
      <c r="AD275">
        <v>0</v>
      </c>
      <c r="AE275">
        <v>0.23529411764705882</v>
      </c>
      <c r="AF275">
        <v>0.13333333333333333</v>
      </c>
      <c r="AG275">
        <v>0</v>
      </c>
      <c r="AH275">
        <v>0</v>
      </c>
      <c r="AI275">
        <v>0</v>
      </c>
    </row>
    <row r="276" spans="1:35" x14ac:dyDescent="0.25">
      <c r="A276">
        <v>2025</v>
      </c>
      <c r="B276" t="s">
        <v>282</v>
      </c>
      <c r="C276" t="s">
        <v>39</v>
      </c>
      <c r="D276" t="str" cm="1">
        <f t="array" ref="D276">_xlfn.XLOOKUP(1,('26 WR'!A:A=E276)*('26 WR'!B:B=F276),'26 WR'!C:C)</f>
        <v>Elijah Sarratt</v>
      </c>
      <c r="E276" t="s">
        <v>20</v>
      </c>
      <c r="F276">
        <v>95</v>
      </c>
      <c r="G276">
        <f>VLOOKUP(B276,[2]FantasyPros_2025_Overall_ADP_Ra!$B$2:$E$416,4,FALSE)</f>
        <v>278</v>
      </c>
      <c r="H276">
        <v>5.5</v>
      </c>
      <c r="I276">
        <v>4.9000000000000004</v>
      </c>
      <c r="J276">
        <v>4.5999999999999996</v>
      </c>
      <c r="K276">
        <v>3.7</v>
      </c>
      <c r="L276">
        <v>16.8</v>
      </c>
      <c r="M276">
        <v>0</v>
      </c>
      <c r="N276">
        <v>2.2999999999999998</v>
      </c>
      <c r="O276">
        <v>17.899999999999999</v>
      </c>
      <c r="P276">
        <v>6</v>
      </c>
      <c r="Q276">
        <v>0</v>
      </c>
      <c r="R276">
        <v>7.2</v>
      </c>
      <c r="S276">
        <v>0.9</v>
      </c>
      <c r="T276">
        <v>5.9</v>
      </c>
      <c r="U276">
        <v>0</v>
      </c>
      <c r="V276">
        <v>98</v>
      </c>
      <c r="W276">
        <v>5.8</v>
      </c>
      <c r="X276">
        <v>20</v>
      </c>
      <c r="Y276">
        <v>1</v>
      </c>
      <c r="Z276">
        <v>3</v>
      </c>
      <c r="AA276">
        <v>2</v>
      </c>
      <c r="AB276">
        <v>0</v>
      </c>
      <c r="AC276">
        <v>0</v>
      </c>
      <c r="AD276">
        <v>0</v>
      </c>
      <c r="AE276">
        <v>0.17647058823529413</v>
      </c>
      <c r="AF276">
        <v>0.11764705882352941</v>
      </c>
      <c r="AG276">
        <v>0</v>
      </c>
      <c r="AH276">
        <v>0</v>
      </c>
      <c r="AI276">
        <v>0</v>
      </c>
    </row>
    <row r="277" spans="1:35" x14ac:dyDescent="0.25">
      <c r="A277">
        <v>2025</v>
      </c>
      <c r="B277" t="s">
        <v>285</v>
      </c>
      <c r="C277" t="s">
        <v>51</v>
      </c>
      <c r="D277" t="str" cm="1">
        <f t="array" ref="D277">_xlfn.XLOOKUP(1,('26 WR'!A:A=E277)*('26 WR'!B:B=F277),'26 WR'!C:C)</f>
        <v>Tory Horton</v>
      </c>
      <c r="E277" t="s">
        <v>20</v>
      </c>
      <c r="F277">
        <v>96</v>
      </c>
      <c r="G277">
        <f>VLOOKUP(B277,[2]FantasyPros_2025_Overall_ADP_Ra!$B$2:$E$416,4,FALSE)</f>
        <v>281</v>
      </c>
      <c r="H277">
        <v>0</v>
      </c>
      <c r="I277">
        <v>0</v>
      </c>
      <c r="J277">
        <v>2.6</v>
      </c>
      <c r="K277">
        <v>0.9</v>
      </c>
      <c r="L277">
        <v>0</v>
      </c>
      <c r="M277">
        <v>9.6</v>
      </c>
      <c r="N277">
        <v>3.2</v>
      </c>
      <c r="O277">
        <v>0</v>
      </c>
      <c r="P277">
        <v>0</v>
      </c>
      <c r="Q277">
        <v>0</v>
      </c>
      <c r="R277">
        <v>11</v>
      </c>
      <c r="S277">
        <v>0</v>
      </c>
      <c r="T277">
        <v>2.1</v>
      </c>
      <c r="U277">
        <v>18.8</v>
      </c>
      <c r="V277">
        <v>51.7</v>
      </c>
      <c r="W277">
        <v>3.2</v>
      </c>
      <c r="X277">
        <v>20</v>
      </c>
      <c r="Y277">
        <v>1</v>
      </c>
      <c r="Z277">
        <v>2</v>
      </c>
      <c r="AA277">
        <v>1</v>
      </c>
      <c r="AB277">
        <v>0</v>
      </c>
      <c r="AC277">
        <v>0</v>
      </c>
      <c r="AD277">
        <v>0</v>
      </c>
      <c r="AE277">
        <v>0.11764705882352941</v>
      </c>
      <c r="AF277">
        <v>6.25E-2</v>
      </c>
      <c r="AG277">
        <v>0</v>
      </c>
      <c r="AH277">
        <v>0</v>
      </c>
      <c r="AI277">
        <v>0</v>
      </c>
    </row>
    <row r="278" spans="1:35" x14ac:dyDescent="0.25">
      <c r="A278">
        <v>2025</v>
      </c>
      <c r="B278" t="s">
        <v>288</v>
      </c>
      <c r="C278" t="s">
        <v>68</v>
      </c>
      <c r="D278" t="str" cm="1">
        <f t="array" ref="D278">_xlfn.XLOOKUP(1,('26 WR'!A:A=E278)*('26 WR'!B:B=F278),'26 WR'!C:C)</f>
        <v>Malachi Fields</v>
      </c>
      <c r="E278" t="s">
        <v>20</v>
      </c>
      <c r="F278">
        <v>97</v>
      </c>
      <c r="G278">
        <f>VLOOKUP(B278,[2]FantasyPros_2025_Overall_ADP_Ra!$B$2:$E$416,4,FALSE)</f>
        <v>288</v>
      </c>
      <c r="H278">
        <v>5.6</v>
      </c>
      <c r="I278">
        <v>4.5999999999999996</v>
      </c>
      <c r="J278">
        <v>5.4</v>
      </c>
      <c r="K278">
        <v>5.2</v>
      </c>
      <c r="L278">
        <v>1.5</v>
      </c>
      <c r="M278">
        <v>3.1</v>
      </c>
      <c r="N278">
        <v>1.3</v>
      </c>
      <c r="O278">
        <v>5.2</v>
      </c>
      <c r="P278">
        <v>3.6</v>
      </c>
      <c r="Q278">
        <v>0</v>
      </c>
      <c r="R278">
        <v>0</v>
      </c>
      <c r="S278">
        <v>0</v>
      </c>
      <c r="T278">
        <v>2.2999999999999998</v>
      </c>
      <c r="U278">
        <v>0</v>
      </c>
      <c r="V278">
        <v>51.9</v>
      </c>
      <c r="W278">
        <v>3.5</v>
      </c>
      <c r="X278">
        <v>20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5.8823529411764705E-2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>
        <v>2025</v>
      </c>
      <c r="B279" t="s">
        <v>292</v>
      </c>
      <c r="C279" t="s">
        <v>114</v>
      </c>
      <c r="D279" t="str" cm="1">
        <f t="array" ref="D279">_xlfn.XLOOKUP(1,('26 WR'!A:A=E279)*('26 WR'!B:B=F279),'26 WR'!C:C)</f>
        <v>Marvin Mims Jr.</v>
      </c>
      <c r="E279" t="s">
        <v>20</v>
      </c>
      <c r="F279">
        <v>98</v>
      </c>
      <c r="G279">
        <f>VLOOKUP(B279,[2]FantasyPros_2025_Overall_ADP_Ra!$B$2:$E$416,4,FALSE)</f>
        <v>297</v>
      </c>
      <c r="H279">
        <v>0</v>
      </c>
      <c r="I279">
        <v>3</v>
      </c>
      <c r="J279">
        <v>1.8</v>
      </c>
      <c r="K279">
        <v>1.6</v>
      </c>
      <c r="L279">
        <v>0</v>
      </c>
      <c r="M279">
        <v>11.5</v>
      </c>
      <c r="N279">
        <v>8.1</v>
      </c>
      <c r="O279">
        <v>1.6</v>
      </c>
      <c r="P279">
        <v>3.1</v>
      </c>
      <c r="Q279">
        <v>0</v>
      </c>
      <c r="R279">
        <v>11.2</v>
      </c>
      <c r="S279">
        <v>2.1</v>
      </c>
      <c r="T279">
        <v>5</v>
      </c>
      <c r="U279">
        <v>3.7</v>
      </c>
      <c r="V279">
        <v>70</v>
      </c>
      <c r="W279">
        <v>4.4000000000000004</v>
      </c>
      <c r="X279">
        <v>20</v>
      </c>
      <c r="Y279">
        <v>1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0.11764705882352941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>
        <v>2025</v>
      </c>
      <c r="B280" t="s">
        <v>295</v>
      </c>
      <c r="C280" t="s">
        <v>90</v>
      </c>
      <c r="D280" t="str" cm="1">
        <f t="array" ref="D280">_xlfn.XLOOKUP(1,('26 WR'!A:A=E280)*('26 WR'!B:B=F280),'26 WR'!C:C)</f>
        <v>Darius Slayton</v>
      </c>
      <c r="E280" t="s">
        <v>20</v>
      </c>
      <c r="F280">
        <v>99</v>
      </c>
      <c r="G280">
        <f>VLOOKUP(B280,[2]FantasyPros_2025_Overall_ADP_Ra!$B$2:$E$416,4,FALSE)</f>
        <v>302</v>
      </c>
      <c r="H280">
        <v>0</v>
      </c>
      <c r="I280">
        <v>1</v>
      </c>
      <c r="J280">
        <v>1.8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0.6</v>
      </c>
      <c r="R280">
        <v>13.5</v>
      </c>
      <c r="S280">
        <v>18.5</v>
      </c>
      <c r="T280">
        <v>5.7</v>
      </c>
      <c r="U280">
        <v>7.4</v>
      </c>
      <c r="V280">
        <v>71.900000000000006</v>
      </c>
      <c r="W280">
        <v>4.5</v>
      </c>
      <c r="X280">
        <v>20</v>
      </c>
      <c r="Y280">
        <v>1</v>
      </c>
      <c r="Z280">
        <v>2</v>
      </c>
      <c r="AA280">
        <v>1</v>
      </c>
      <c r="AB280">
        <v>0</v>
      </c>
      <c r="AC280">
        <v>0</v>
      </c>
      <c r="AD280">
        <v>0</v>
      </c>
      <c r="AE280">
        <v>0.11764705882352941</v>
      </c>
      <c r="AF280">
        <v>6.25E-2</v>
      </c>
      <c r="AG280">
        <v>0</v>
      </c>
      <c r="AH280">
        <v>0</v>
      </c>
      <c r="AI280">
        <v>0</v>
      </c>
    </row>
    <row r="281" spans="1:35" x14ac:dyDescent="0.25">
      <c r="A281">
        <v>2025</v>
      </c>
      <c r="B281" t="s">
        <v>296</v>
      </c>
      <c r="C281" t="s">
        <v>35</v>
      </c>
      <c r="D281" t="str" cm="1">
        <f t="array" ref="D281">_xlfn.XLOOKUP(1,('26 WR'!A:A=E281)*('26 WR'!B:B=F281),'26 WR'!C:C)</f>
        <v>Chris Brazzell II</v>
      </c>
      <c r="E281" t="s">
        <v>20</v>
      </c>
      <c r="F281">
        <v>100</v>
      </c>
      <c r="G281">
        <f>VLOOKUP(B281,[2]FantasyPros_2025_Overall_ADP_Ra!$B$2:$E$416,4,FALSE)</f>
        <v>306</v>
      </c>
      <c r="H281">
        <v>4.7</v>
      </c>
      <c r="I281">
        <v>15.3</v>
      </c>
      <c r="J281">
        <v>8.8000000000000007</v>
      </c>
      <c r="K281">
        <v>6.4</v>
      </c>
      <c r="L281">
        <v>0</v>
      </c>
      <c r="M281">
        <v>0</v>
      </c>
      <c r="N281">
        <v>2.7</v>
      </c>
      <c r="O281">
        <v>0.8</v>
      </c>
      <c r="P281">
        <v>3.3</v>
      </c>
      <c r="Q281">
        <v>0</v>
      </c>
      <c r="R281">
        <v>1</v>
      </c>
      <c r="S281">
        <v>4.2</v>
      </c>
      <c r="T281">
        <v>8.1</v>
      </c>
      <c r="U281">
        <v>5</v>
      </c>
      <c r="V281">
        <v>84.5</v>
      </c>
      <c r="W281">
        <v>5.6</v>
      </c>
      <c r="X281">
        <v>20</v>
      </c>
      <c r="Y281">
        <v>1</v>
      </c>
      <c r="Z281">
        <v>2</v>
      </c>
      <c r="AA281">
        <v>2</v>
      </c>
      <c r="AB281">
        <v>0</v>
      </c>
      <c r="AC281">
        <v>0</v>
      </c>
      <c r="AD281">
        <v>0</v>
      </c>
      <c r="AE281">
        <v>0.11764705882352941</v>
      </c>
      <c r="AF281">
        <v>0.13333333333333333</v>
      </c>
      <c r="AG281">
        <v>0</v>
      </c>
      <c r="AH281">
        <v>0</v>
      </c>
      <c r="AI281">
        <v>0</v>
      </c>
    </row>
    <row r="282" spans="1:35" x14ac:dyDescent="0.25">
      <c r="A282">
        <v>2025</v>
      </c>
      <c r="B282" t="s">
        <v>297</v>
      </c>
      <c r="C282" t="s">
        <v>132</v>
      </c>
      <c r="D282" t="str" cm="1">
        <f t="array" ref="D282">_xlfn.XLOOKUP(1,('26 WR'!A:A=E282)*('26 WR'!B:B=F282),'26 WR'!C:C)</f>
        <v>Tyquan Thornton</v>
      </c>
      <c r="E282" t="s">
        <v>20</v>
      </c>
      <c r="F282">
        <v>101</v>
      </c>
      <c r="G282">
        <f>VLOOKUP(B282,[2]FantasyPros_2025_Overall_ADP_Ra!$B$2:$E$416,4,FALSE)</f>
        <v>310</v>
      </c>
      <c r="H282">
        <v>1.5</v>
      </c>
      <c r="I282">
        <v>2.5</v>
      </c>
      <c r="J282">
        <v>3.6</v>
      </c>
      <c r="K282">
        <v>8.8000000000000007</v>
      </c>
      <c r="L282">
        <v>4.9000000000000004</v>
      </c>
      <c r="M282">
        <v>2.9</v>
      </c>
      <c r="N282">
        <v>0</v>
      </c>
      <c r="O282">
        <v>0</v>
      </c>
      <c r="P282">
        <v>0</v>
      </c>
      <c r="Q282">
        <v>0</v>
      </c>
      <c r="R282">
        <v>0.8</v>
      </c>
      <c r="S282">
        <v>7.8</v>
      </c>
      <c r="T282">
        <v>3.7</v>
      </c>
      <c r="U282">
        <v>0</v>
      </c>
      <c r="V282">
        <v>54.7</v>
      </c>
      <c r="W282">
        <v>3.4</v>
      </c>
      <c r="X282">
        <v>20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5.8823529411764705E-2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>
        <v>2025</v>
      </c>
      <c r="B283" t="s">
        <v>299</v>
      </c>
      <c r="C283" t="s">
        <v>80</v>
      </c>
      <c r="D283" t="str" cm="1">
        <f t="array" ref="D283">_xlfn.XLOOKUP(1,('26 WR'!A:A=E283)*('26 WR'!B:B=F283),'26 WR'!C:C)</f>
        <v>Xavier Legette</v>
      </c>
      <c r="E283" t="s">
        <v>20</v>
      </c>
      <c r="F283">
        <v>102</v>
      </c>
      <c r="G283">
        <f>VLOOKUP(B283,[2]FantasyPros_2025_Overall_ADP_Ra!$B$2:$E$416,4,FALSE)</f>
        <v>311</v>
      </c>
      <c r="H283">
        <v>2.1</v>
      </c>
      <c r="I283">
        <v>1.2</v>
      </c>
      <c r="J283">
        <v>6.8</v>
      </c>
      <c r="K283">
        <v>3.8</v>
      </c>
      <c r="L283">
        <v>2.6</v>
      </c>
      <c r="M283">
        <v>5.4</v>
      </c>
      <c r="N283">
        <v>9</v>
      </c>
      <c r="O283">
        <v>1</v>
      </c>
      <c r="P283">
        <v>3.9</v>
      </c>
      <c r="Q283">
        <v>5.0999999999999996</v>
      </c>
      <c r="R283">
        <v>2.2999999999999998</v>
      </c>
      <c r="S283">
        <v>0</v>
      </c>
      <c r="T283">
        <v>0</v>
      </c>
      <c r="U283">
        <v>0</v>
      </c>
      <c r="V283">
        <v>49.2</v>
      </c>
      <c r="W283">
        <v>3.3</v>
      </c>
      <c r="X283">
        <v>20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25">
      <c r="A284">
        <v>2025</v>
      </c>
      <c r="B284" t="s">
        <v>300</v>
      </c>
      <c r="C284" t="s">
        <v>78</v>
      </c>
      <c r="D284" t="str" cm="1">
        <f t="array" ref="D284">_xlfn.XLOOKUP(1,('26 WR'!A:A=E284)*('26 WR'!B:B=F284),'26 WR'!C:C)</f>
        <v>Devaughn Vele</v>
      </c>
      <c r="E284" t="s">
        <v>20</v>
      </c>
      <c r="F284">
        <v>103</v>
      </c>
      <c r="G284">
        <f>VLOOKUP(B284,[2]FantasyPros_2025_Overall_ADP_Ra!$B$2:$E$416,4,FALSE)</f>
        <v>315</v>
      </c>
      <c r="H284">
        <v>16.3</v>
      </c>
      <c r="I284">
        <v>8.6</v>
      </c>
      <c r="J284">
        <v>4.8</v>
      </c>
      <c r="K284">
        <v>2.8</v>
      </c>
      <c r="L284">
        <v>7.3</v>
      </c>
      <c r="M284">
        <v>26.3</v>
      </c>
      <c r="N284">
        <v>13.5</v>
      </c>
      <c r="O284">
        <v>16.5</v>
      </c>
      <c r="P284">
        <v>0</v>
      </c>
      <c r="Q284">
        <v>0</v>
      </c>
      <c r="R284">
        <v>0</v>
      </c>
      <c r="S284">
        <v>3.5</v>
      </c>
      <c r="T284">
        <v>13.5</v>
      </c>
      <c r="U284">
        <v>0</v>
      </c>
      <c r="V284">
        <v>124.1</v>
      </c>
      <c r="W284">
        <v>8.9</v>
      </c>
      <c r="X284">
        <v>20</v>
      </c>
      <c r="Y284">
        <v>1</v>
      </c>
      <c r="Z284">
        <v>5</v>
      </c>
      <c r="AA284">
        <v>3</v>
      </c>
      <c r="AB284">
        <v>1</v>
      </c>
      <c r="AC284">
        <v>1</v>
      </c>
      <c r="AD284">
        <v>0</v>
      </c>
      <c r="AE284">
        <v>0.29411764705882354</v>
      </c>
      <c r="AF284">
        <v>0.21428571428571427</v>
      </c>
      <c r="AG284">
        <v>7.1428571428571425E-2</v>
      </c>
      <c r="AH284">
        <v>7.1428571428571425E-2</v>
      </c>
      <c r="AI284">
        <v>0</v>
      </c>
    </row>
    <row r="285" spans="1:35" x14ac:dyDescent="0.25">
      <c r="A285">
        <v>2025</v>
      </c>
      <c r="B285" t="s">
        <v>301</v>
      </c>
      <c r="C285" t="s">
        <v>26</v>
      </c>
      <c r="D285" t="str" cm="1">
        <f t="array" ref="D285">_xlfn.XLOOKUP(1,('26 WR'!A:A=E285)*('26 WR'!B:B=F285),'26 WR'!C:C)</f>
        <v>Mack Hollins</v>
      </c>
      <c r="E285" t="s">
        <v>20</v>
      </c>
      <c r="F285">
        <v>104</v>
      </c>
      <c r="G285">
        <f>VLOOKUP(B285,[2]FantasyPros_2025_Overall_ADP_Ra!$B$2:$E$416,4,FALSE)</f>
        <v>317</v>
      </c>
      <c r="H285">
        <v>0</v>
      </c>
      <c r="I285">
        <v>6.2</v>
      </c>
      <c r="J285">
        <v>7.8</v>
      </c>
      <c r="K285">
        <v>2.7</v>
      </c>
      <c r="L285">
        <v>24.2</v>
      </c>
      <c r="M285">
        <v>19.2</v>
      </c>
      <c r="N285">
        <v>3.4</v>
      </c>
      <c r="O285">
        <v>7.4</v>
      </c>
      <c r="P285">
        <v>5.4</v>
      </c>
      <c r="Q285">
        <v>2.9</v>
      </c>
      <c r="R285">
        <v>0</v>
      </c>
      <c r="S285">
        <v>0</v>
      </c>
      <c r="T285">
        <v>0</v>
      </c>
      <c r="U285">
        <v>0</v>
      </c>
      <c r="V285">
        <v>92.1</v>
      </c>
      <c r="W285">
        <v>5.8</v>
      </c>
      <c r="X285">
        <v>20</v>
      </c>
      <c r="Y285">
        <v>1</v>
      </c>
      <c r="Z285">
        <v>2</v>
      </c>
      <c r="AA285">
        <v>2</v>
      </c>
      <c r="AB285">
        <v>1</v>
      </c>
      <c r="AC285">
        <v>0</v>
      </c>
      <c r="AD285">
        <v>0</v>
      </c>
      <c r="AE285">
        <v>0.11764705882352941</v>
      </c>
      <c r="AF285">
        <v>0.125</v>
      </c>
      <c r="AG285">
        <v>6.25E-2</v>
      </c>
      <c r="AH285">
        <v>0</v>
      </c>
      <c r="AI285">
        <v>0</v>
      </c>
    </row>
    <row r="286" spans="1:35" x14ac:dyDescent="0.25">
      <c r="A286">
        <v>2025</v>
      </c>
      <c r="B286" t="s">
        <v>303</v>
      </c>
      <c r="C286" t="s">
        <v>57</v>
      </c>
      <c r="D286" t="str" cm="1">
        <f t="array" ref="D286">_xlfn.XLOOKUP(1,('26 WR'!A:A=E286)*('26 WR'!B:B=F286),'26 WR'!C:C)</f>
        <v>Keenan Allen</v>
      </c>
      <c r="E286" t="s">
        <v>20</v>
      </c>
      <c r="F286">
        <v>105</v>
      </c>
      <c r="G286">
        <v>318</v>
      </c>
      <c r="H286">
        <v>6.9</v>
      </c>
      <c r="I286">
        <v>7.4</v>
      </c>
      <c r="J286">
        <v>12</v>
      </c>
      <c r="K286">
        <v>4</v>
      </c>
      <c r="L286">
        <v>11.9</v>
      </c>
      <c r="M286">
        <v>7.1</v>
      </c>
      <c r="N286">
        <v>7.5</v>
      </c>
      <c r="O286">
        <v>1.8</v>
      </c>
      <c r="P286">
        <v>0</v>
      </c>
      <c r="Q286">
        <v>6.1</v>
      </c>
      <c r="R286">
        <v>10.1</v>
      </c>
      <c r="S286">
        <v>4.2</v>
      </c>
      <c r="T286">
        <v>1.5</v>
      </c>
      <c r="U286">
        <v>1.5</v>
      </c>
      <c r="V286">
        <v>82</v>
      </c>
      <c r="W286">
        <v>6.3</v>
      </c>
      <c r="X286">
        <v>20</v>
      </c>
      <c r="Y286">
        <v>1</v>
      </c>
      <c r="Z286">
        <v>3</v>
      </c>
      <c r="AA286">
        <v>0</v>
      </c>
      <c r="AB286">
        <v>0</v>
      </c>
      <c r="AC286">
        <v>0</v>
      </c>
      <c r="AD286">
        <v>0</v>
      </c>
      <c r="AE286">
        <v>0.17647058823529413</v>
      </c>
      <c r="AF286">
        <v>0</v>
      </c>
      <c r="AG286">
        <v>0</v>
      </c>
      <c r="AH286">
        <v>0</v>
      </c>
      <c r="AI286">
        <v>0</v>
      </c>
    </row>
    <row r="287" spans="1:35" x14ac:dyDescent="0.25">
      <c r="A287">
        <v>2025</v>
      </c>
      <c r="B287" t="s">
        <v>307</v>
      </c>
      <c r="C287" t="s">
        <v>90</v>
      </c>
      <c r="D287" t="str" cm="1">
        <f t="array" ref="D287">_xlfn.XLOOKUP(1,('26 WR'!A:A=E287)*('26 WR'!B:B=F287),'26 WR'!C:C)</f>
        <v>Kyle Williams</v>
      </c>
      <c r="E287" t="s">
        <v>20</v>
      </c>
      <c r="F287">
        <v>106</v>
      </c>
      <c r="G287">
        <f>VLOOKUP(B287,[2]FantasyPros_2025_Overall_ADP_Ra!$B$2:$E$416,4,FALSE)</f>
        <v>324</v>
      </c>
      <c r="H287">
        <v>4.0999999999999996</v>
      </c>
      <c r="I287">
        <v>4</v>
      </c>
      <c r="J287">
        <v>0</v>
      </c>
      <c r="K287">
        <v>10.6</v>
      </c>
      <c r="L287">
        <v>0</v>
      </c>
      <c r="M287">
        <v>0</v>
      </c>
      <c r="N287">
        <v>1.8</v>
      </c>
      <c r="O287">
        <v>0</v>
      </c>
      <c r="P287">
        <v>1.7</v>
      </c>
      <c r="Q287">
        <v>0</v>
      </c>
      <c r="R287">
        <v>2</v>
      </c>
      <c r="S287">
        <v>6.2</v>
      </c>
      <c r="T287">
        <v>24.2</v>
      </c>
      <c r="U287">
        <v>3.4</v>
      </c>
      <c r="V287">
        <v>87.9</v>
      </c>
      <c r="W287">
        <v>5.5</v>
      </c>
      <c r="X287">
        <v>20</v>
      </c>
      <c r="Y287">
        <v>1</v>
      </c>
      <c r="Z287">
        <v>3</v>
      </c>
      <c r="AA287">
        <v>2</v>
      </c>
      <c r="AB287">
        <v>1</v>
      </c>
      <c r="AC287">
        <v>0</v>
      </c>
      <c r="AD287">
        <v>0</v>
      </c>
      <c r="AE287">
        <v>0.17647058823529413</v>
      </c>
      <c r="AF287">
        <v>0.125</v>
      </c>
      <c r="AG287">
        <v>6.25E-2</v>
      </c>
      <c r="AH287">
        <v>0</v>
      </c>
      <c r="AI287">
        <v>0</v>
      </c>
    </row>
    <row r="288" spans="1:35" x14ac:dyDescent="0.25">
      <c r="A288">
        <v>2025</v>
      </c>
      <c r="B288" t="s">
        <v>308</v>
      </c>
      <c r="C288" t="s">
        <v>85</v>
      </c>
      <c r="D288" t="str" cm="1">
        <f t="array" ref="D288">_xlfn.XLOOKUP(1,('26 WR'!A:A=E288)*('26 WR'!B:B=F288),'26 WR'!C:C)</f>
        <v>Hollywood Brown</v>
      </c>
      <c r="E288" t="s">
        <v>20</v>
      </c>
      <c r="F288">
        <v>107</v>
      </c>
      <c r="G288">
        <f>VLOOKUP(B288,[2]FantasyPros_2025_Overall_ADP_Ra!$B$2:$E$416,4,FALSE)</f>
        <v>325</v>
      </c>
      <c r="H288">
        <v>6.1</v>
      </c>
      <c r="I288">
        <v>13.9</v>
      </c>
      <c r="J288">
        <v>18.100000000000001</v>
      </c>
      <c r="K288">
        <v>8.1</v>
      </c>
      <c r="L288">
        <v>12</v>
      </c>
      <c r="M288">
        <v>0</v>
      </c>
      <c r="N288">
        <v>4.9000000000000004</v>
      </c>
      <c r="O288">
        <v>0</v>
      </c>
      <c r="P288">
        <v>0</v>
      </c>
      <c r="Q288">
        <v>0</v>
      </c>
      <c r="R288">
        <v>7.1</v>
      </c>
      <c r="S288">
        <v>0</v>
      </c>
      <c r="T288">
        <v>0</v>
      </c>
      <c r="U288">
        <v>3.9</v>
      </c>
      <c r="V288">
        <v>80.8</v>
      </c>
      <c r="W288">
        <v>5.8</v>
      </c>
      <c r="X288">
        <v>20</v>
      </c>
      <c r="Y288">
        <v>1</v>
      </c>
      <c r="Z288">
        <v>3</v>
      </c>
      <c r="AA288">
        <v>1</v>
      </c>
      <c r="AB288">
        <v>0</v>
      </c>
      <c r="AC288">
        <v>0</v>
      </c>
      <c r="AD288">
        <v>0</v>
      </c>
      <c r="AE288">
        <v>0.17647058823529413</v>
      </c>
      <c r="AF288">
        <v>7.1428571428571425E-2</v>
      </c>
      <c r="AG288">
        <v>0</v>
      </c>
      <c r="AH288">
        <v>0</v>
      </c>
      <c r="AI288">
        <v>0</v>
      </c>
    </row>
    <row r="289" spans="1:35" x14ac:dyDescent="0.25">
      <c r="A289">
        <v>2025</v>
      </c>
      <c r="B289" t="s">
        <v>310</v>
      </c>
      <c r="C289" t="s">
        <v>61</v>
      </c>
      <c r="D289" t="str" cm="1">
        <f t="array" ref="D289">_xlfn.XLOOKUP(1,('26 WR'!A:A=E289)*('26 WR'!B:B=F289),'26 WR'!C:C)</f>
        <v>Isaiah Bond</v>
      </c>
      <c r="E289" t="s">
        <v>20</v>
      </c>
      <c r="F289">
        <v>108</v>
      </c>
      <c r="G289">
        <f>VLOOKUP(B289,[2]FantasyPros_2025_Overall_ADP_Ra!$B$2:$E$416,4,FALSE)</f>
        <v>334</v>
      </c>
      <c r="H289">
        <v>5</v>
      </c>
      <c r="I289">
        <v>8.4</v>
      </c>
      <c r="J289">
        <v>4.0999999999999996</v>
      </c>
      <c r="K289">
        <v>3.9</v>
      </c>
      <c r="L289">
        <v>0</v>
      </c>
      <c r="M289">
        <v>3.5</v>
      </c>
      <c r="N289">
        <v>1.5</v>
      </c>
      <c r="O289">
        <v>0</v>
      </c>
      <c r="P289">
        <v>0</v>
      </c>
      <c r="Q289">
        <v>7.8</v>
      </c>
      <c r="R289">
        <v>1.9</v>
      </c>
      <c r="S289">
        <v>5.2</v>
      </c>
      <c r="T289">
        <v>28</v>
      </c>
      <c r="U289">
        <v>0</v>
      </c>
      <c r="V289">
        <v>75.8</v>
      </c>
      <c r="W289">
        <v>5.4</v>
      </c>
      <c r="X289">
        <v>20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5.8823529411764705E-2</v>
      </c>
      <c r="AF289">
        <v>7.1428571428571425E-2</v>
      </c>
      <c r="AG289">
        <v>7.1428571428571425E-2</v>
      </c>
      <c r="AH289">
        <v>7.1428571428571425E-2</v>
      </c>
      <c r="AI289">
        <v>0</v>
      </c>
    </row>
    <row r="290" spans="1:35" x14ac:dyDescent="0.25">
      <c r="A290">
        <v>2025</v>
      </c>
      <c r="B290" t="s">
        <v>315</v>
      </c>
      <c r="C290" t="s">
        <v>45</v>
      </c>
      <c r="D290" t="str" cm="1">
        <f t="array" ref="D290">_xlfn.XLOOKUP(1,('26 WR'!A:A=E290)*('26 WR'!B:B=F290),'26 WR'!C:C)</f>
        <v>Skyler Bell</v>
      </c>
      <c r="E290" t="s">
        <v>20</v>
      </c>
      <c r="F290">
        <v>109</v>
      </c>
      <c r="G290">
        <f>VLOOKUP(B290,[2]FantasyPros_2025_Overall_ADP_Ra!$B$2:$E$416,4,FALSE)</f>
        <v>341</v>
      </c>
      <c r="H290">
        <v>0.8</v>
      </c>
      <c r="I290">
        <v>2.1</v>
      </c>
      <c r="J290">
        <v>2.8</v>
      </c>
      <c r="K290">
        <v>7.9</v>
      </c>
      <c r="L290">
        <v>3.2</v>
      </c>
      <c r="M290">
        <v>9.9</v>
      </c>
      <c r="N290">
        <v>2.5</v>
      </c>
      <c r="O290">
        <v>0</v>
      </c>
      <c r="P290">
        <v>0.9</v>
      </c>
      <c r="Q290">
        <v>6.2</v>
      </c>
      <c r="R290">
        <v>18.600000000000001</v>
      </c>
      <c r="S290">
        <v>16.8</v>
      </c>
      <c r="T290">
        <v>3.4</v>
      </c>
      <c r="U290">
        <v>0</v>
      </c>
      <c r="V290">
        <v>75.099999999999994</v>
      </c>
      <c r="W290">
        <v>6.3</v>
      </c>
      <c r="X290">
        <v>20</v>
      </c>
      <c r="Y290">
        <v>1</v>
      </c>
      <c r="Z290">
        <v>2</v>
      </c>
      <c r="AA290">
        <v>2</v>
      </c>
      <c r="AB290">
        <v>0</v>
      </c>
      <c r="AC290">
        <v>0</v>
      </c>
      <c r="AD290">
        <v>0</v>
      </c>
      <c r="AE290">
        <v>0.11764705882352941</v>
      </c>
      <c r="AF290">
        <v>0.16666666666666666</v>
      </c>
      <c r="AG290">
        <v>0</v>
      </c>
      <c r="AH290">
        <v>0</v>
      </c>
      <c r="AI290">
        <v>0</v>
      </c>
    </row>
    <row r="291" spans="1:35" x14ac:dyDescent="0.25">
      <c r="A291">
        <v>2025</v>
      </c>
      <c r="B291" t="s">
        <v>317</v>
      </c>
      <c r="C291" t="s">
        <v>29</v>
      </c>
      <c r="D291" t="str" cm="1">
        <f t="array" ref="D291">_xlfn.XLOOKUP(1,('26 WR'!A:A=E291)*('26 WR'!B:B=F291),'26 WR'!C:C)</f>
        <v>Ja'Kobi Lane</v>
      </c>
      <c r="E291" t="s">
        <v>20</v>
      </c>
      <c r="F291">
        <v>110</v>
      </c>
      <c r="G291">
        <f>VLOOKUP(B291,[2]FantasyPros_2025_Overall_ADP_Ra!$B$2:$E$416,4,FALSE)</f>
        <v>342</v>
      </c>
      <c r="H291">
        <v>13.4</v>
      </c>
      <c r="I291">
        <v>4.9000000000000004</v>
      </c>
      <c r="J291">
        <v>40.9</v>
      </c>
      <c r="K291">
        <v>4.2</v>
      </c>
      <c r="L291">
        <v>11.1</v>
      </c>
      <c r="M291">
        <v>12</v>
      </c>
      <c r="N291">
        <v>8.3000000000000007</v>
      </c>
      <c r="O291">
        <v>0</v>
      </c>
      <c r="P291">
        <v>6.8</v>
      </c>
      <c r="Q291">
        <v>5.5</v>
      </c>
      <c r="R291">
        <v>14.7</v>
      </c>
      <c r="S291">
        <v>5.8</v>
      </c>
      <c r="T291">
        <v>5</v>
      </c>
      <c r="U291">
        <v>4.4000000000000004</v>
      </c>
      <c r="V291">
        <v>161.69999999999999</v>
      </c>
      <c r="W291">
        <v>9.5</v>
      </c>
      <c r="X291">
        <v>20</v>
      </c>
      <c r="Y291">
        <v>1</v>
      </c>
      <c r="Z291">
        <v>5</v>
      </c>
      <c r="AA291">
        <v>1</v>
      </c>
      <c r="AB291">
        <v>1</v>
      </c>
      <c r="AC291">
        <v>1</v>
      </c>
      <c r="AD291">
        <v>1</v>
      </c>
      <c r="AE291">
        <v>0.29411764705882354</v>
      </c>
      <c r="AF291">
        <v>5.8823529411764705E-2</v>
      </c>
      <c r="AG291">
        <v>5.8823529411764705E-2</v>
      </c>
      <c r="AH291">
        <v>5.8823529411764705E-2</v>
      </c>
      <c r="AI291">
        <v>5.8823529411764705E-2</v>
      </c>
    </row>
    <row r="292" spans="1:35" x14ac:dyDescent="0.25">
      <c r="A292">
        <v>2025</v>
      </c>
      <c r="B292" t="s">
        <v>319</v>
      </c>
      <c r="C292" t="s">
        <v>35</v>
      </c>
      <c r="D292" t="str" cm="1">
        <f t="array" ref="D292">_xlfn.XLOOKUP(1,('26 WR'!A:A=E292)*('26 WR'!B:B=F292),'26 WR'!C:C)</f>
        <v>Andrei Iosivas</v>
      </c>
      <c r="E292" t="s">
        <v>20</v>
      </c>
      <c r="F292">
        <v>111</v>
      </c>
      <c r="G292">
        <v>342</v>
      </c>
      <c r="H292">
        <v>0</v>
      </c>
      <c r="I292">
        <v>0</v>
      </c>
      <c r="J292">
        <v>4.0999999999999996</v>
      </c>
      <c r="K292">
        <v>4.5999999999999996</v>
      </c>
      <c r="L292">
        <v>18.399999999999999</v>
      </c>
      <c r="M292">
        <v>6.3</v>
      </c>
      <c r="N292">
        <v>0</v>
      </c>
      <c r="O292">
        <v>1.7</v>
      </c>
      <c r="P292">
        <v>9.1999999999999993</v>
      </c>
      <c r="Q292">
        <v>0</v>
      </c>
      <c r="R292">
        <v>7.2</v>
      </c>
      <c r="S292">
        <v>0</v>
      </c>
      <c r="T292">
        <v>6.4</v>
      </c>
      <c r="U292">
        <v>26.5</v>
      </c>
      <c r="V292">
        <v>114</v>
      </c>
      <c r="W292">
        <v>7.6</v>
      </c>
      <c r="X292">
        <v>20</v>
      </c>
      <c r="Y292">
        <v>1</v>
      </c>
      <c r="Z292">
        <v>3</v>
      </c>
      <c r="AA292">
        <v>2</v>
      </c>
      <c r="AB292">
        <v>1</v>
      </c>
      <c r="AC292">
        <v>1</v>
      </c>
      <c r="AD292">
        <v>0</v>
      </c>
      <c r="AE292">
        <v>0.17647058823529413</v>
      </c>
      <c r="AF292">
        <v>0.13333333333333333</v>
      </c>
      <c r="AG292">
        <v>6.6666666666666666E-2</v>
      </c>
      <c r="AH292">
        <v>6.6666666666666666E-2</v>
      </c>
      <c r="AI292">
        <v>0</v>
      </c>
    </row>
    <row r="293" spans="1:35" x14ac:dyDescent="0.25">
      <c r="A293">
        <v>2025</v>
      </c>
      <c r="B293" t="s">
        <v>327</v>
      </c>
      <c r="C293" t="s">
        <v>96</v>
      </c>
      <c r="D293" t="str" cm="1">
        <f t="array" ref="D293">_xlfn.XLOOKUP(1,('26 WR'!A:A=E293)*('26 WR'!B:B=F293),'26 WR'!C:C)</f>
        <v>Cedric Tillman</v>
      </c>
      <c r="E293" t="s">
        <v>20</v>
      </c>
      <c r="F293">
        <v>112</v>
      </c>
      <c r="G293">
        <f>VLOOKUP(B293,[2]FantasyPros_2025_Overall_ADP_Ra!$B$2:$E$416,4,FALSE)</f>
        <v>360</v>
      </c>
      <c r="H293">
        <v>2.2999999999999998</v>
      </c>
      <c r="I293">
        <v>7.3</v>
      </c>
      <c r="J293">
        <v>0</v>
      </c>
      <c r="K293">
        <v>0</v>
      </c>
      <c r="L293">
        <v>3.3</v>
      </c>
      <c r="M293">
        <v>0</v>
      </c>
      <c r="N293">
        <v>0</v>
      </c>
      <c r="O293">
        <v>2</v>
      </c>
      <c r="P293">
        <v>0</v>
      </c>
      <c r="Q293">
        <v>2.5</v>
      </c>
      <c r="R293">
        <v>0</v>
      </c>
      <c r="S293">
        <v>6.7</v>
      </c>
      <c r="T293">
        <v>23.3</v>
      </c>
      <c r="U293">
        <v>7</v>
      </c>
      <c r="V293">
        <v>66.3</v>
      </c>
      <c r="W293">
        <v>5.0999999999999996</v>
      </c>
      <c r="X293">
        <v>20</v>
      </c>
      <c r="Y293">
        <v>1</v>
      </c>
      <c r="Z293">
        <v>2</v>
      </c>
      <c r="AA293">
        <v>1</v>
      </c>
      <c r="AB293">
        <v>1</v>
      </c>
      <c r="AC293">
        <v>0</v>
      </c>
      <c r="AD293">
        <v>0</v>
      </c>
      <c r="AE293">
        <v>0.11764705882352941</v>
      </c>
      <c r="AF293">
        <v>7.6923076923076927E-2</v>
      </c>
      <c r="AG293">
        <v>7.6923076923076927E-2</v>
      </c>
      <c r="AH293">
        <v>0</v>
      </c>
      <c r="AI293">
        <v>0</v>
      </c>
    </row>
    <row r="294" spans="1:35" x14ac:dyDescent="0.25">
      <c r="A294">
        <v>2025</v>
      </c>
      <c r="B294" t="s">
        <v>329</v>
      </c>
      <c r="C294" t="s">
        <v>39</v>
      </c>
      <c r="D294" t="str" cm="1">
        <f t="array" ref="D294">_xlfn.XLOOKUP(1,('26 WR'!A:A=E294)*('26 WR'!B:B=F294),'26 WR'!C:C)</f>
        <v>Jalen Royals</v>
      </c>
      <c r="E294" t="s">
        <v>20</v>
      </c>
      <c r="F294">
        <v>113</v>
      </c>
      <c r="G294">
        <v>365</v>
      </c>
      <c r="H294">
        <v>1.7</v>
      </c>
      <c r="I294">
        <v>0</v>
      </c>
      <c r="J294">
        <v>1.4</v>
      </c>
      <c r="K294">
        <v>1</v>
      </c>
      <c r="L294">
        <v>9.8000000000000007</v>
      </c>
      <c r="M294">
        <v>0</v>
      </c>
      <c r="N294">
        <v>11.7</v>
      </c>
      <c r="O294">
        <v>11.3</v>
      </c>
      <c r="P294">
        <v>0.3</v>
      </c>
      <c r="Q294">
        <v>7.5</v>
      </c>
      <c r="R294">
        <v>2.2000000000000002</v>
      </c>
      <c r="S294">
        <v>1.9</v>
      </c>
      <c r="T294">
        <v>0</v>
      </c>
      <c r="U294">
        <v>3.3</v>
      </c>
      <c r="V294">
        <v>68.400000000000006</v>
      </c>
      <c r="W294">
        <v>4</v>
      </c>
      <c r="X294">
        <v>20</v>
      </c>
      <c r="Y294">
        <v>1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0.17647058823529413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>
        <v>2025</v>
      </c>
      <c r="B295" t="s">
        <v>340</v>
      </c>
      <c r="C295" t="s">
        <v>24</v>
      </c>
      <c r="D295" t="str" cm="1">
        <f t="array" ref="D295">_xlfn.XLOOKUP(1,('26 WR'!A:A=E295)*('26 WR'!B:B=F295),'26 WR'!C:C)</f>
        <v>Tez Johnson</v>
      </c>
      <c r="E295" t="s">
        <v>20</v>
      </c>
      <c r="F295">
        <v>114</v>
      </c>
      <c r="G295">
        <v>400</v>
      </c>
      <c r="H295">
        <v>0</v>
      </c>
      <c r="I295">
        <v>0</v>
      </c>
      <c r="J295">
        <v>1.9</v>
      </c>
      <c r="K295">
        <v>0</v>
      </c>
      <c r="L295">
        <v>0</v>
      </c>
      <c r="M295">
        <v>0</v>
      </c>
      <c r="N295">
        <v>0</v>
      </c>
      <c r="O295">
        <v>3.4</v>
      </c>
      <c r="P295">
        <v>0</v>
      </c>
      <c r="Q295">
        <v>0</v>
      </c>
      <c r="R295">
        <v>2.1</v>
      </c>
      <c r="S295">
        <v>9.6</v>
      </c>
      <c r="T295">
        <v>9.5</v>
      </c>
      <c r="U295">
        <v>0</v>
      </c>
      <c r="V295">
        <v>49.1</v>
      </c>
      <c r="W295">
        <v>2.9</v>
      </c>
      <c r="X295">
        <v>20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5.8823529411764705E-2</v>
      </c>
      <c r="AF295">
        <v>0</v>
      </c>
      <c r="AG295">
        <v>0</v>
      </c>
      <c r="AH295">
        <v>0</v>
      </c>
      <c r="AI295">
        <v>0</v>
      </c>
    </row>
    <row r="296" spans="1:35" x14ac:dyDescent="0.25">
      <c r="A296">
        <v>2025</v>
      </c>
      <c r="B296" t="s">
        <v>342</v>
      </c>
      <c r="C296" t="s">
        <v>26</v>
      </c>
      <c r="D296" t="str" cm="1">
        <f t="array" ref="D296">_xlfn.XLOOKUP(1,('26 WR'!A:A=E296)*('26 WR'!B:B=F296),'26 WR'!C:C)</f>
        <v>Luke McCaffrey</v>
      </c>
      <c r="E296" t="s">
        <v>20</v>
      </c>
      <c r="F296">
        <v>115</v>
      </c>
      <c r="G296">
        <f>VLOOKUP(B296,[2]FantasyPros_2025_Overall_ADP_Ra!$B$2:$E$416,4,FALSE)</f>
        <v>404</v>
      </c>
      <c r="H296">
        <v>0</v>
      </c>
      <c r="I296">
        <v>0</v>
      </c>
      <c r="J296">
        <v>0</v>
      </c>
      <c r="K296">
        <v>3</v>
      </c>
      <c r="L296">
        <v>6.9</v>
      </c>
      <c r="M296">
        <v>6.4</v>
      </c>
      <c r="N296">
        <v>0</v>
      </c>
      <c r="O296">
        <v>4.5</v>
      </c>
      <c r="P296">
        <v>0</v>
      </c>
      <c r="Q296">
        <v>6.4</v>
      </c>
      <c r="R296">
        <v>2.2999999999999998</v>
      </c>
      <c r="S296">
        <v>1.8</v>
      </c>
      <c r="T296">
        <v>0.6</v>
      </c>
      <c r="U296">
        <v>0</v>
      </c>
      <c r="V296">
        <v>58.2</v>
      </c>
      <c r="W296">
        <v>4.2</v>
      </c>
      <c r="X296">
        <v>20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5.8823529411764705E-2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>
        <v>2025</v>
      </c>
      <c r="B297" t="s">
        <v>347</v>
      </c>
      <c r="C297" t="s">
        <v>114</v>
      </c>
      <c r="D297" t="str" cm="1">
        <f t="array" ref="D297">_xlfn.XLOOKUP(1,('26 WR'!A:A=E297)*('26 WR'!B:B=F297),'26 WR'!C:C)</f>
        <v>Calvin Austin III</v>
      </c>
      <c r="E297" t="s">
        <v>20</v>
      </c>
      <c r="F297">
        <v>116</v>
      </c>
      <c r="G297">
        <f>VLOOKUP(B297,[2]FantasyPros_2025_Overall_ADP_Ra!$B$2:$E$416,4,FALSE)</f>
        <v>413</v>
      </c>
      <c r="H297">
        <v>0.9</v>
      </c>
      <c r="I297">
        <v>2.8</v>
      </c>
      <c r="J297">
        <v>3.5</v>
      </c>
      <c r="K297">
        <v>0.4</v>
      </c>
      <c r="L297">
        <v>3.7</v>
      </c>
      <c r="M297">
        <v>2.8</v>
      </c>
      <c r="N297">
        <v>16.899999999999999</v>
      </c>
      <c r="O297">
        <v>16.399999999999999</v>
      </c>
      <c r="P297">
        <v>7.5</v>
      </c>
      <c r="Q297">
        <v>0</v>
      </c>
      <c r="R297">
        <v>3.4</v>
      </c>
      <c r="S297">
        <v>21.4</v>
      </c>
      <c r="T297">
        <v>0.1</v>
      </c>
      <c r="U297">
        <v>13.4</v>
      </c>
      <c r="V297">
        <v>126.1</v>
      </c>
      <c r="W297">
        <v>7.4</v>
      </c>
      <c r="X297">
        <v>20</v>
      </c>
      <c r="Y297">
        <v>1</v>
      </c>
      <c r="Z297">
        <v>6</v>
      </c>
      <c r="AA297">
        <v>3</v>
      </c>
      <c r="AB297">
        <v>1</v>
      </c>
      <c r="AC297">
        <v>0</v>
      </c>
      <c r="AD297">
        <v>0</v>
      </c>
      <c r="AE297">
        <v>0.35294117647058826</v>
      </c>
      <c r="AF297">
        <v>0.17647058823529413</v>
      </c>
      <c r="AG297">
        <v>5.8823529411764705E-2</v>
      </c>
      <c r="AH297">
        <v>0</v>
      </c>
      <c r="AI297">
        <v>0</v>
      </c>
    </row>
    <row r="298" spans="1:35" x14ac:dyDescent="0.25">
      <c r="A298">
        <v>2025</v>
      </c>
      <c r="B298" t="s">
        <v>348</v>
      </c>
      <c r="C298" t="s">
        <v>61</v>
      </c>
      <c r="D298" t="str" cm="1">
        <f t="array" ref="D298">_xlfn.XLOOKUP(1,('26 WR'!A:A=E298)*('26 WR'!B:B=F298),'26 WR'!C:C)</f>
        <v>Konata Mumpfield</v>
      </c>
      <c r="E298" t="s">
        <v>20</v>
      </c>
      <c r="F298">
        <v>117</v>
      </c>
      <c r="G298">
        <f>VLOOKUP(B298,[2]FantasyPros_2025_Overall_ADP_Ra!$B$2:$E$416,4,FALSE)</f>
        <v>420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12.5</v>
      </c>
      <c r="P298">
        <v>7.8</v>
      </c>
      <c r="Q298">
        <v>6.5</v>
      </c>
      <c r="R298">
        <v>20.6</v>
      </c>
      <c r="S298">
        <v>9.9</v>
      </c>
      <c r="T298">
        <v>18.3</v>
      </c>
      <c r="U298">
        <v>24.9</v>
      </c>
      <c r="V298">
        <v>132.4</v>
      </c>
      <c r="W298">
        <v>13.2</v>
      </c>
      <c r="X298">
        <v>20</v>
      </c>
      <c r="Y298">
        <v>1</v>
      </c>
      <c r="Z298">
        <v>5</v>
      </c>
      <c r="AA298">
        <v>4</v>
      </c>
      <c r="AB298">
        <v>3</v>
      </c>
      <c r="AC298">
        <v>0</v>
      </c>
      <c r="AD298">
        <v>0</v>
      </c>
      <c r="AE298">
        <v>0.29411764705882354</v>
      </c>
      <c r="AF298">
        <v>0.4</v>
      </c>
      <c r="AG298">
        <v>0.3</v>
      </c>
      <c r="AH298">
        <v>0</v>
      </c>
      <c r="AI298">
        <v>0</v>
      </c>
    </row>
    <row r="299" spans="1:35" x14ac:dyDescent="0.25">
      <c r="A299">
        <v>2025</v>
      </c>
      <c r="B299" t="s">
        <v>349</v>
      </c>
      <c r="C299" t="s">
        <v>51</v>
      </c>
      <c r="D299" t="str" cm="1">
        <f t="array" ref="D299">_xlfn.XLOOKUP(1,('26 WR'!A:A=E299)*('26 WR'!B:B=F299),'26 WR'!C:C)</f>
        <v>Olamide Zaccheaus</v>
      </c>
      <c r="E299" t="s">
        <v>20</v>
      </c>
      <c r="F299">
        <v>118</v>
      </c>
      <c r="G299">
        <f>VLOOKUP(B299,[2]FantasyPros_2025_Overall_ADP_Ra!$B$2:$E$416,4,FALSE)</f>
        <v>422</v>
      </c>
      <c r="H299">
        <v>0</v>
      </c>
      <c r="I299">
        <v>12.6</v>
      </c>
      <c r="J299">
        <v>7.4</v>
      </c>
      <c r="K299">
        <v>5.9</v>
      </c>
      <c r="L299">
        <v>9.6</v>
      </c>
      <c r="M299">
        <v>4.9000000000000004</v>
      </c>
      <c r="N299">
        <v>10.199999999999999</v>
      </c>
      <c r="O299">
        <v>0</v>
      </c>
      <c r="P299">
        <v>17</v>
      </c>
      <c r="Q299">
        <v>17.899999999999999</v>
      </c>
      <c r="R299">
        <v>4</v>
      </c>
      <c r="S299">
        <v>18.100000000000001</v>
      </c>
      <c r="T299">
        <v>3.6</v>
      </c>
      <c r="U299">
        <v>0</v>
      </c>
      <c r="V299">
        <v>184.7</v>
      </c>
      <c r="W299">
        <v>11.5</v>
      </c>
      <c r="X299">
        <v>20</v>
      </c>
      <c r="Y299">
        <v>1</v>
      </c>
      <c r="Z299">
        <v>8</v>
      </c>
      <c r="AA299">
        <v>6</v>
      </c>
      <c r="AB299">
        <v>1</v>
      </c>
      <c r="AC299">
        <v>1</v>
      </c>
      <c r="AD299">
        <v>0</v>
      </c>
      <c r="AE299">
        <v>0.47058823529411764</v>
      </c>
      <c r="AF299">
        <v>0.375</v>
      </c>
      <c r="AG299">
        <v>6.25E-2</v>
      </c>
      <c r="AH299">
        <v>6.25E-2</v>
      </c>
      <c r="AI299">
        <v>0</v>
      </c>
    </row>
    <row r="300" spans="1:35" x14ac:dyDescent="0.25">
      <c r="A300">
        <v>2025</v>
      </c>
      <c r="B300" t="s">
        <v>353</v>
      </c>
      <c r="C300" t="s">
        <v>90</v>
      </c>
      <c r="D300" t="str" cm="1">
        <f t="array" ref="D300">_xlfn.XLOOKUP(1,('26 WR'!A:A=E300)*('26 WR'!B:B=F300),'26 WR'!C:C)</f>
        <v>Jahan Dotson</v>
      </c>
      <c r="E300" t="s">
        <v>20</v>
      </c>
      <c r="F300">
        <v>119</v>
      </c>
      <c r="G300">
        <v>4000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8.6</v>
      </c>
      <c r="P300">
        <v>0</v>
      </c>
      <c r="Q300">
        <v>7.4</v>
      </c>
      <c r="R300">
        <v>1.6</v>
      </c>
      <c r="S300">
        <v>0</v>
      </c>
      <c r="T300">
        <v>0</v>
      </c>
      <c r="U300">
        <v>10.4</v>
      </c>
      <c r="V300">
        <v>58.7</v>
      </c>
      <c r="W300">
        <v>3.9</v>
      </c>
      <c r="X300">
        <v>20</v>
      </c>
      <c r="Y300">
        <v>1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0.11764705882352941</v>
      </c>
      <c r="AF300">
        <v>0</v>
      </c>
      <c r="AG300">
        <v>0</v>
      </c>
      <c r="AH300">
        <v>0</v>
      </c>
      <c r="AI300">
        <v>0</v>
      </c>
    </row>
    <row r="301" spans="1:35" x14ac:dyDescent="0.25">
      <c r="D301" cm="1">
        <f t="array" ref="D301">_xlfn.XLOOKUP(1,('26 WR'!A:A=E301)*('26 WR'!B:B=F301),'26 WR'!C:C)</f>
        <v>0</v>
      </c>
      <c r="Y301">
        <v>1</v>
      </c>
    </row>
    <row r="302" spans="1:35" x14ac:dyDescent="0.25">
      <c r="D302" cm="1">
        <f t="array" ref="D302">_xlfn.XLOOKUP(1,('26 WR'!A:A=E302)*('26 WR'!B:B=F302),'26 WR'!C:C)</f>
        <v>0</v>
      </c>
      <c r="Y302">
        <v>1</v>
      </c>
    </row>
    <row r="303" spans="1:35" x14ac:dyDescent="0.25">
      <c r="D303" cm="1">
        <f t="array" ref="D303">_xlfn.XLOOKUP(1,('26 WR'!A:A=E303)*('26 WR'!B:B=F303),'26 WR'!C:C)</f>
        <v>0</v>
      </c>
      <c r="Y303">
        <v>1</v>
      </c>
    </row>
    <row r="304" spans="1:35" x14ac:dyDescent="0.25">
      <c r="D304" cm="1">
        <f t="array" ref="D304">_xlfn.XLOOKUP(1,('26 WR'!A:A=E304)*('26 WR'!B:B=F304),'26 WR'!C:C)</f>
        <v>0</v>
      </c>
      <c r="Y304">
        <v>1</v>
      </c>
    </row>
    <row r="305" spans="4:25" x14ac:dyDescent="0.25">
      <c r="D305" cm="1">
        <f t="array" ref="D305">_xlfn.XLOOKUP(1,('26 WR'!A:A=E305)*('26 WR'!B:B=F305),'26 WR'!C:C)</f>
        <v>0</v>
      </c>
      <c r="Y305">
        <v>1</v>
      </c>
    </row>
    <row r="306" spans="4:25" x14ac:dyDescent="0.25">
      <c r="D306" cm="1">
        <f t="array" ref="D306">_xlfn.XLOOKUP(1,('26 WR'!A:A=E306)*('26 WR'!B:B=F306),'26 WR'!C:C)</f>
        <v>0</v>
      </c>
      <c r="Y306">
        <v>1</v>
      </c>
    </row>
    <row r="307" spans="4:25" x14ac:dyDescent="0.25">
      <c r="D307" cm="1">
        <f t="array" ref="D307">_xlfn.XLOOKUP(1,('26 WR'!A:A=E307)*('26 WR'!B:B=F307),'26 WR'!C:C)</f>
        <v>0</v>
      </c>
      <c r="Y307">
        <v>1</v>
      </c>
    </row>
    <row r="308" spans="4:25" x14ac:dyDescent="0.25">
      <c r="D308" cm="1">
        <f t="array" ref="D308">_xlfn.XLOOKUP(1,('26 WR'!A:A=E308)*('26 WR'!B:B=F308),'26 WR'!C:C)</f>
        <v>0</v>
      </c>
      <c r="Y308">
        <v>1</v>
      </c>
    </row>
    <row r="309" spans="4:25" x14ac:dyDescent="0.25">
      <c r="D309" cm="1">
        <f t="array" ref="D309">_xlfn.XLOOKUP(1,('26 WR'!A:A=E309)*('26 WR'!B:B=F309),'26 WR'!C:C)</f>
        <v>0</v>
      </c>
      <c r="Y309">
        <v>1</v>
      </c>
    </row>
    <row r="310" spans="4:25" x14ac:dyDescent="0.25">
      <c r="D310" cm="1">
        <f t="array" ref="D310">_xlfn.XLOOKUP(1,('26 WR'!A:A=E310)*('26 WR'!B:B=F310),'26 WR'!C:C)</f>
        <v>0</v>
      </c>
      <c r="Y310">
        <v>1</v>
      </c>
    </row>
    <row r="311" spans="4:25" x14ac:dyDescent="0.25">
      <c r="D311" cm="1">
        <f t="array" ref="D311">_xlfn.XLOOKUP(1,('26 WR'!A:A=E311)*('26 WR'!B:B=F311),'26 WR'!C:C)</f>
        <v>0</v>
      </c>
      <c r="Y311">
        <v>1</v>
      </c>
    </row>
    <row r="312" spans="4:25" x14ac:dyDescent="0.25">
      <c r="D312" cm="1">
        <f t="array" ref="D312">_xlfn.XLOOKUP(1,('26 WR'!A:A=E312)*('26 WR'!B:B=F312),'26 WR'!C:C)</f>
        <v>0</v>
      </c>
      <c r="Y312">
        <v>1</v>
      </c>
    </row>
    <row r="313" spans="4:25" x14ac:dyDescent="0.25">
      <c r="D313" cm="1">
        <f t="array" ref="D313">_xlfn.XLOOKUP(1,('26 WR'!A:A=E313)*('26 WR'!B:B=F313),'26 WR'!C:C)</f>
        <v>0</v>
      </c>
      <c r="Y313">
        <v>1</v>
      </c>
    </row>
    <row r="314" spans="4:25" x14ac:dyDescent="0.25">
      <c r="D314" cm="1">
        <f t="array" ref="D314">_xlfn.XLOOKUP(1,('26 WR'!A:A=E314)*('26 WR'!B:B=F314),'26 WR'!C:C)</f>
        <v>0</v>
      </c>
      <c r="Y314">
        <v>1</v>
      </c>
    </row>
    <row r="315" spans="4:25" x14ac:dyDescent="0.25">
      <c r="D315" cm="1">
        <f t="array" ref="D315">_xlfn.XLOOKUP(1,('26 WR'!A:A=E315)*('26 WR'!B:B=F315),'26 WR'!C:C)</f>
        <v>0</v>
      </c>
      <c r="Y315">
        <v>1</v>
      </c>
    </row>
    <row r="316" spans="4:25" x14ac:dyDescent="0.25">
      <c r="D316" cm="1">
        <f t="array" ref="D316">_xlfn.XLOOKUP(1,('26 WR'!A:A=E316)*('26 WR'!B:B=F316),'26 WR'!C:C)</f>
        <v>0</v>
      </c>
      <c r="Y316">
        <v>1</v>
      </c>
    </row>
    <row r="317" spans="4:25" x14ac:dyDescent="0.25">
      <c r="D317" cm="1">
        <f t="array" ref="D317">_xlfn.XLOOKUP(1,('26 WR'!A:A=E317)*('26 WR'!B:B=F317),'26 WR'!C:C)</f>
        <v>0</v>
      </c>
      <c r="Y317">
        <v>1</v>
      </c>
    </row>
    <row r="318" spans="4:25" x14ac:dyDescent="0.25">
      <c r="D318" cm="1">
        <f t="array" ref="D318">_xlfn.XLOOKUP(1,('26 WR'!A:A=E318)*('26 WR'!B:B=F318),'26 WR'!C:C)</f>
        <v>0</v>
      </c>
      <c r="Y318">
        <v>1</v>
      </c>
    </row>
    <row r="319" spans="4:25" x14ac:dyDescent="0.25">
      <c r="D319" cm="1">
        <f t="array" ref="D319">_xlfn.XLOOKUP(1,('26 WR'!A:A=E319)*('26 WR'!B:B=F319),'26 WR'!C:C)</f>
        <v>0</v>
      </c>
      <c r="Y319">
        <v>1</v>
      </c>
    </row>
  </sheetData>
  <autoFilter ref="A1:AI319" xr:uid="{E806EB6F-D83C-4694-92F0-9539A944B3A8}">
    <sortState xmlns:xlrd2="http://schemas.microsoft.com/office/spreadsheetml/2017/richdata2" ref="A2:AI319">
      <sortCondition ref="E1:E3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02B7-8F09-49B1-8CE7-597A5C342246}">
  <sheetPr codeName="Sheet1"/>
  <dimension ref="A1:AL300"/>
  <sheetViews>
    <sheetView workbookViewId="0">
      <selection activeCell="C17" sqref="C17"/>
    </sheetView>
  </sheetViews>
  <sheetFormatPr defaultRowHeight="15" x14ac:dyDescent="0.25"/>
  <cols>
    <col min="2" max="2" width="16.28515625" customWidth="1"/>
    <col min="4" max="4" width="19.28515625" customWidth="1"/>
  </cols>
  <sheetData>
    <row r="1" spans="1:38" x14ac:dyDescent="0.25">
      <c r="A1" t="s">
        <v>0</v>
      </c>
      <c r="B1" t="s">
        <v>355</v>
      </c>
      <c r="C1" t="s">
        <v>3</v>
      </c>
      <c r="D1" t="s">
        <v>1</v>
      </c>
      <c r="E1" t="s">
        <v>2</v>
      </c>
      <c r="F1" t="s">
        <v>354</v>
      </c>
      <c r="G1" t="s">
        <v>4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</row>
    <row r="2" spans="1:38" x14ac:dyDescent="0.25">
      <c r="A2">
        <v>2025</v>
      </c>
      <c r="B2" t="s">
        <v>66</v>
      </c>
      <c r="C2" t="s">
        <v>68</v>
      </c>
      <c r="D2" t="str" cm="1">
        <f t="array" ref="D2">_xlfn.XLOOKUP(1,('26 WR'!A:A=E2)*('26 WR'!B:B=F2),'26 WR'!C:C)</f>
        <v>Josh Allen</v>
      </c>
      <c r="E2" t="s">
        <v>67</v>
      </c>
      <c r="F2">
        <v>1</v>
      </c>
      <c r="G2">
        <v>26</v>
      </c>
      <c r="H2">
        <v>38.799999999999997</v>
      </c>
      <c r="I2">
        <v>11.8</v>
      </c>
      <c r="J2">
        <v>23</v>
      </c>
      <c r="K2">
        <v>25.9</v>
      </c>
      <c r="L2">
        <v>20.399999999999999</v>
      </c>
      <c r="M2">
        <v>17.399999999999999</v>
      </c>
      <c r="N2">
        <v>0</v>
      </c>
      <c r="O2">
        <v>23.2</v>
      </c>
      <c r="P2">
        <v>28.8</v>
      </c>
      <c r="Q2">
        <v>20.3</v>
      </c>
      <c r="R2">
        <v>44.7</v>
      </c>
      <c r="S2">
        <v>10.1</v>
      </c>
      <c r="T2">
        <v>17.7</v>
      </c>
      <c r="U2">
        <v>37.799999999999997</v>
      </c>
      <c r="V2">
        <v>24.5</v>
      </c>
      <c r="W2">
        <v>6.9</v>
      </c>
      <c r="X2">
        <v>23.2</v>
      </c>
      <c r="Y2">
        <v>374.5</v>
      </c>
      <c r="Z2">
        <v>22</v>
      </c>
      <c r="AA2">
        <v>1</v>
      </c>
      <c r="AB2">
        <v>1</v>
      </c>
      <c r="AC2">
        <v>15</v>
      </c>
      <c r="AD2">
        <v>13</v>
      </c>
      <c r="AE2">
        <v>11</v>
      </c>
      <c r="AF2">
        <v>5</v>
      </c>
      <c r="AG2">
        <v>3</v>
      </c>
      <c r="AH2">
        <v>0.88235294117647056</v>
      </c>
      <c r="AI2">
        <v>0.76470588235294112</v>
      </c>
      <c r="AJ2">
        <v>0.6470588235294118</v>
      </c>
      <c r="AK2">
        <v>0.29411764705882354</v>
      </c>
      <c r="AL2">
        <v>0.17647058823529413</v>
      </c>
    </row>
    <row r="3" spans="1:38" x14ac:dyDescent="0.25">
      <c r="A3">
        <v>2025</v>
      </c>
      <c r="B3" t="s">
        <v>70</v>
      </c>
      <c r="C3" t="s">
        <v>41</v>
      </c>
      <c r="D3" t="str" cm="1">
        <f t="array" ref="D3">_xlfn.XLOOKUP(1,('26 WR'!A:A=E3)*('26 WR'!B:B=F3),'26 WR'!C:C)</f>
        <v>Lamar Jackson</v>
      </c>
      <c r="E3" t="s">
        <v>67</v>
      </c>
      <c r="F3">
        <v>2</v>
      </c>
      <c r="G3">
        <v>28</v>
      </c>
      <c r="H3">
        <v>29.4</v>
      </c>
      <c r="I3">
        <v>26.3</v>
      </c>
      <c r="J3">
        <v>27</v>
      </c>
      <c r="K3">
        <v>11.7</v>
      </c>
      <c r="L3">
        <v>0</v>
      </c>
      <c r="M3">
        <v>0</v>
      </c>
      <c r="N3">
        <v>0</v>
      </c>
      <c r="O3">
        <v>0</v>
      </c>
      <c r="P3">
        <v>25.6</v>
      </c>
      <c r="Q3">
        <v>16.600000000000001</v>
      </c>
      <c r="R3">
        <v>6.7</v>
      </c>
      <c r="S3">
        <v>7.2</v>
      </c>
      <c r="T3">
        <v>7.5</v>
      </c>
      <c r="U3">
        <v>22.1</v>
      </c>
      <c r="V3">
        <v>15.6</v>
      </c>
      <c r="W3">
        <v>4.7</v>
      </c>
      <c r="X3">
        <v>0</v>
      </c>
      <c r="Y3">
        <v>200.39999999999995</v>
      </c>
      <c r="Z3">
        <v>17.100000000000001</v>
      </c>
      <c r="AA3">
        <v>20</v>
      </c>
      <c r="AB3">
        <v>1</v>
      </c>
      <c r="AC3">
        <v>9</v>
      </c>
      <c r="AD3">
        <v>8</v>
      </c>
      <c r="AE3">
        <v>6</v>
      </c>
      <c r="AF3">
        <v>4</v>
      </c>
      <c r="AG3">
        <v>0</v>
      </c>
      <c r="AH3">
        <v>0.52941176470588236</v>
      </c>
      <c r="AI3">
        <v>0.61538461538461542</v>
      </c>
      <c r="AJ3">
        <v>0.46153846153846156</v>
      </c>
      <c r="AK3">
        <v>0.30769230769230771</v>
      </c>
      <c r="AL3">
        <v>0</v>
      </c>
    </row>
    <row r="4" spans="1:38" x14ac:dyDescent="0.25">
      <c r="A4">
        <v>2025</v>
      </c>
      <c r="B4" t="s">
        <v>79</v>
      </c>
      <c r="C4" t="s">
        <v>80</v>
      </c>
      <c r="D4" t="str" cm="1">
        <f t="array" ref="D4">_xlfn.XLOOKUP(1,('26 WR'!A:A=E4)*('26 WR'!B:B=F4),'26 WR'!C:C)</f>
        <v>Drake Maye</v>
      </c>
      <c r="E4" t="s">
        <v>67</v>
      </c>
      <c r="F4">
        <v>3</v>
      </c>
      <c r="G4">
        <v>35</v>
      </c>
      <c r="H4">
        <v>20.100000000000001</v>
      </c>
      <c r="I4">
        <v>19.7</v>
      </c>
      <c r="J4">
        <v>0</v>
      </c>
      <c r="K4">
        <v>0</v>
      </c>
      <c r="L4">
        <v>17.100000000000001</v>
      </c>
      <c r="M4">
        <v>22.6</v>
      </c>
      <c r="N4">
        <v>17.7</v>
      </c>
      <c r="O4">
        <v>0</v>
      </c>
      <c r="P4">
        <v>16.2</v>
      </c>
      <c r="Q4">
        <v>0</v>
      </c>
      <c r="R4">
        <v>0</v>
      </c>
      <c r="S4">
        <v>0</v>
      </c>
      <c r="T4">
        <v>0</v>
      </c>
      <c r="U4">
        <v>3.7</v>
      </c>
      <c r="V4">
        <v>0</v>
      </c>
      <c r="W4">
        <v>0</v>
      </c>
      <c r="X4">
        <v>0</v>
      </c>
      <c r="Y4">
        <v>117.10000000000001</v>
      </c>
      <c r="Z4">
        <v>16.8</v>
      </c>
      <c r="AA4">
        <v>34</v>
      </c>
      <c r="AB4">
        <v>1</v>
      </c>
      <c r="AC4">
        <v>6</v>
      </c>
      <c r="AD4">
        <v>6</v>
      </c>
      <c r="AE4">
        <v>2</v>
      </c>
      <c r="AF4">
        <v>0</v>
      </c>
      <c r="AG4">
        <v>0</v>
      </c>
      <c r="AH4">
        <v>0.35294117647058826</v>
      </c>
      <c r="AI4">
        <v>0.8571428571428571</v>
      </c>
      <c r="AJ4">
        <v>0.2857142857142857</v>
      </c>
      <c r="AK4">
        <v>0</v>
      </c>
      <c r="AL4">
        <v>0</v>
      </c>
    </row>
    <row r="5" spans="1:38" x14ac:dyDescent="0.25">
      <c r="A5">
        <v>2025</v>
      </c>
      <c r="B5" t="s">
        <v>88</v>
      </c>
      <c r="C5" t="s">
        <v>33</v>
      </c>
      <c r="D5" t="str" cm="1">
        <f t="array" ref="D5">_xlfn.XLOOKUP(1,('26 WR'!A:A=E5)*('26 WR'!B:B=F5),'26 WR'!C:C)</f>
        <v>Joe Burrow</v>
      </c>
      <c r="E5" t="s">
        <v>67</v>
      </c>
      <c r="F5">
        <v>4</v>
      </c>
      <c r="G5">
        <v>42</v>
      </c>
      <c r="H5">
        <v>24.3</v>
      </c>
      <c r="I5">
        <v>11.5</v>
      </c>
      <c r="J5">
        <v>29</v>
      </c>
      <c r="K5">
        <v>19.399999999999999</v>
      </c>
      <c r="L5">
        <v>19.5</v>
      </c>
      <c r="M5">
        <v>21.6</v>
      </c>
      <c r="N5">
        <v>24</v>
      </c>
      <c r="O5">
        <v>25.4</v>
      </c>
      <c r="P5">
        <v>0</v>
      </c>
      <c r="Q5">
        <v>12</v>
      </c>
      <c r="R5">
        <v>14.5</v>
      </c>
      <c r="S5">
        <v>30.9</v>
      </c>
      <c r="T5">
        <v>17.3</v>
      </c>
      <c r="U5">
        <v>4.4000000000000004</v>
      </c>
      <c r="V5">
        <v>22.9</v>
      </c>
      <c r="W5">
        <v>19.399999999999999</v>
      </c>
      <c r="X5">
        <v>8.9</v>
      </c>
      <c r="Y5">
        <v>304.99999999999994</v>
      </c>
      <c r="Z5">
        <v>19.100000000000001</v>
      </c>
      <c r="AA5">
        <v>9</v>
      </c>
      <c r="AB5">
        <v>1</v>
      </c>
      <c r="AC5">
        <v>14</v>
      </c>
      <c r="AD5">
        <v>11</v>
      </c>
      <c r="AE5">
        <v>7</v>
      </c>
      <c r="AF5">
        <v>3</v>
      </c>
      <c r="AG5">
        <v>1</v>
      </c>
      <c r="AH5">
        <v>0.82352941176470584</v>
      </c>
      <c r="AI5">
        <v>0.6875</v>
      </c>
      <c r="AJ5">
        <v>0.4375</v>
      </c>
      <c r="AK5">
        <v>0.1875</v>
      </c>
      <c r="AL5">
        <v>6.25E-2</v>
      </c>
    </row>
    <row r="6" spans="1:38" x14ac:dyDescent="0.25">
      <c r="A6">
        <v>2025</v>
      </c>
      <c r="B6" t="s">
        <v>93</v>
      </c>
      <c r="C6" t="s">
        <v>21</v>
      </c>
      <c r="D6" t="str" cm="1">
        <f t="array" ref="D6">_xlfn.XLOOKUP(1,('26 WR'!A:A=E6)*('26 WR'!B:B=F6),'26 WR'!C:C)</f>
        <v>Jayden Daniels</v>
      </c>
      <c r="E6" t="s">
        <v>67</v>
      </c>
      <c r="F6">
        <v>5</v>
      </c>
      <c r="G6">
        <v>45</v>
      </c>
      <c r="H6">
        <v>8.8000000000000007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19.2</v>
      </c>
      <c r="U6">
        <v>25.4</v>
      </c>
      <c r="V6">
        <v>7.5</v>
      </c>
      <c r="W6">
        <v>29</v>
      </c>
      <c r="X6">
        <v>20.399999999999999</v>
      </c>
      <c r="Y6">
        <v>117.30000000000001</v>
      </c>
      <c r="Z6">
        <v>17.399999999999999</v>
      </c>
      <c r="AA6">
        <v>7</v>
      </c>
      <c r="AB6">
        <v>1</v>
      </c>
      <c r="AC6">
        <v>5</v>
      </c>
      <c r="AD6">
        <v>5</v>
      </c>
      <c r="AE6">
        <v>4</v>
      </c>
      <c r="AF6">
        <v>2</v>
      </c>
      <c r="AG6">
        <v>0</v>
      </c>
      <c r="AH6">
        <v>0.29411764705882354</v>
      </c>
      <c r="AI6">
        <v>0.625</v>
      </c>
      <c r="AJ6">
        <v>0.5</v>
      </c>
      <c r="AK6">
        <v>0.25</v>
      </c>
      <c r="AL6">
        <v>0</v>
      </c>
    </row>
    <row r="7" spans="1:38" x14ac:dyDescent="0.25">
      <c r="A7">
        <v>2025</v>
      </c>
      <c r="B7" t="s">
        <v>129</v>
      </c>
      <c r="C7" t="s">
        <v>85</v>
      </c>
      <c r="D7" t="str" cm="1">
        <f t="array" ref="D7">_xlfn.XLOOKUP(1,('26 WR'!A:A=E7)*('26 WR'!B:B=F7),'26 WR'!C:C)</f>
        <v>Jalen Hurts</v>
      </c>
      <c r="E7" t="s">
        <v>67</v>
      </c>
      <c r="F7">
        <v>6</v>
      </c>
      <c r="G7">
        <v>76</v>
      </c>
      <c r="H7">
        <v>26</v>
      </c>
      <c r="I7">
        <v>23.1</v>
      </c>
      <c r="J7">
        <v>13.2</v>
      </c>
      <c r="K7">
        <v>27.3</v>
      </c>
      <c r="L7">
        <v>27.7</v>
      </c>
      <c r="M7">
        <v>31.5</v>
      </c>
      <c r="N7">
        <v>26.2</v>
      </c>
      <c r="O7">
        <v>25</v>
      </c>
      <c r="P7">
        <v>11.5</v>
      </c>
      <c r="Q7">
        <v>0</v>
      </c>
      <c r="R7">
        <v>14.3</v>
      </c>
      <c r="S7">
        <v>18.100000000000001</v>
      </c>
      <c r="T7">
        <v>29.4</v>
      </c>
      <c r="U7">
        <v>8.3000000000000007</v>
      </c>
      <c r="V7">
        <v>14.1</v>
      </c>
      <c r="W7">
        <v>0</v>
      </c>
      <c r="X7">
        <v>0</v>
      </c>
      <c r="Y7">
        <v>295.70000000000005</v>
      </c>
      <c r="Z7">
        <v>21.1</v>
      </c>
      <c r="AA7">
        <v>11</v>
      </c>
      <c r="AB7">
        <v>1</v>
      </c>
      <c r="AC7">
        <v>13</v>
      </c>
      <c r="AD7">
        <v>9</v>
      </c>
      <c r="AE7">
        <v>8</v>
      </c>
      <c r="AF7">
        <v>6</v>
      </c>
      <c r="AG7">
        <v>1</v>
      </c>
      <c r="AH7">
        <v>0.76470588235294112</v>
      </c>
      <c r="AI7">
        <v>0.6428571428571429</v>
      </c>
      <c r="AJ7">
        <v>0.5714285714285714</v>
      </c>
      <c r="AK7">
        <v>0.42857142857142855</v>
      </c>
      <c r="AL7">
        <v>7.1428571428571425E-2</v>
      </c>
    </row>
    <row r="8" spans="1:38" x14ac:dyDescent="0.25">
      <c r="A8">
        <v>2025</v>
      </c>
      <c r="B8" t="s">
        <v>138</v>
      </c>
      <c r="C8" t="s">
        <v>57</v>
      </c>
      <c r="D8" t="str" cm="1">
        <f t="array" ref="D8">_xlfn.XLOOKUP(1,('26 WR'!A:A=E8)*('26 WR'!B:B=F8),'26 WR'!C:C)</f>
        <v>Caleb Williams</v>
      </c>
      <c r="E8" t="s">
        <v>67</v>
      </c>
      <c r="F8">
        <v>7</v>
      </c>
      <c r="G8">
        <v>84</v>
      </c>
      <c r="H8">
        <v>22.6</v>
      </c>
      <c r="I8">
        <v>19.899999999999999</v>
      </c>
      <c r="J8">
        <v>17.7</v>
      </c>
      <c r="K8">
        <v>19.899999999999999</v>
      </c>
      <c r="L8">
        <v>26.7</v>
      </c>
      <c r="M8">
        <v>19.600000000000001</v>
      </c>
      <c r="N8">
        <v>12.1</v>
      </c>
      <c r="O8">
        <v>4.0999999999999996</v>
      </c>
      <c r="P8">
        <v>0</v>
      </c>
      <c r="Q8">
        <v>22.9</v>
      </c>
      <c r="R8">
        <v>17.8</v>
      </c>
      <c r="S8">
        <v>5.5</v>
      </c>
      <c r="T8">
        <v>14.5</v>
      </c>
      <c r="U8">
        <v>12.1</v>
      </c>
      <c r="V8">
        <v>20.2</v>
      </c>
      <c r="W8">
        <v>13.7</v>
      </c>
      <c r="X8">
        <v>19.399999999999999</v>
      </c>
      <c r="Y8">
        <v>268.7</v>
      </c>
      <c r="Z8">
        <v>16.600000000000001</v>
      </c>
      <c r="AA8">
        <v>12</v>
      </c>
      <c r="AB8">
        <v>1</v>
      </c>
      <c r="AC8">
        <v>15</v>
      </c>
      <c r="AD8">
        <v>10</v>
      </c>
      <c r="AE8">
        <v>4</v>
      </c>
      <c r="AF8">
        <v>1</v>
      </c>
      <c r="AG8">
        <v>0</v>
      </c>
      <c r="AH8">
        <v>0.88235294117647056</v>
      </c>
      <c r="AI8">
        <v>0.58823529411764708</v>
      </c>
      <c r="AJ8">
        <v>0.23529411764705882</v>
      </c>
      <c r="AK8">
        <v>5.8823529411764705E-2</v>
      </c>
      <c r="AL8">
        <v>0</v>
      </c>
    </row>
    <row r="9" spans="1:38" x14ac:dyDescent="0.25">
      <c r="A9">
        <v>2025</v>
      </c>
      <c r="B9" t="s">
        <v>143</v>
      </c>
      <c r="C9" t="s">
        <v>90</v>
      </c>
      <c r="D9" t="str" cm="1">
        <f t="array" ref="D9">_xlfn.XLOOKUP(1,('26 WR'!A:A=E9)*('26 WR'!B:B=F9),'26 WR'!C:C)</f>
        <v>Justin Herbert</v>
      </c>
      <c r="E9" t="s">
        <v>67</v>
      </c>
      <c r="F9">
        <v>8</v>
      </c>
      <c r="G9">
        <v>89</v>
      </c>
      <c r="H9">
        <v>29.5</v>
      </c>
      <c r="I9">
        <v>4</v>
      </c>
      <c r="J9">
        <v>0</v>
      </c>
      <c r="K9">
        <v>27.1</v>
      </c>
      <c r="L9">
        <v>25.9</v>
      </c>
      <c r="M9">
        <v>4.9000000000000004</v>
      </c>
      <c r="N9">
        <v>4</v>
      </c>
      <c r="O9">
        <v>20.9</v>
      </c>
      <c r="P9">
        <v>0</v>
      </c>
      <c r="Q9">
        <v>8</v>
      </c>
      <c r="R9">
        <v>19.3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143.60000000000002</v>
      </c>
      <c r="Z9">
        <v>16</v>
      </c>
      <c r="AA9">
        <v>10</v>
      </c>
      <c r="AB9">
        <v>1</v>
      </c>
      <c r="AC9">
        <v>5</v>
      </c>
      <c r="AD9">
        <v>5</v>
      </c>
      <c r="AE9">
        <v>4</v>
      </c>
      <c r="AF9">
        <v>3</v>
      </c>
      <c r="AG9">
        <v>0</v>
      </c>
      <c r="AH9">
        <v>0.29411764705882354</v>
      </c>
      <c r="AI9">
        <v>0.55555555555555558</v>
      </c>
      <c r="AJ9">
        <v>0.44444444444444442</v>
      </c>
      <c r="AK9">
        <v>0.33333333333333331</v>
      </c>
      <c r="AL9">
        <v>0</v>
      </c>
    </row>
    <row r="10" spans="1:38" x14ac:dyDescent="0.25">
      <c r="A10">
        <v>2025</v>
      </c>
      <c r="B10" t="s">
        <v>144</v>
      </c>
      <c r="C10" t="s">
        <v>98</v>
      </c>
      <c r="D10" t="str" cm="1">
        <f t="array" ref="D10">_xlfn.XLOOKUP(1,('26 WR'!A:A=E10)*('26 WR'!B:B=F10),'26 WR'!C:C)</f>
        <v>Trevor Lawrence</v>
      </c>
      <c r="E10" t="s">
        <v>67</v>
      </c>
      <c r="F10">
        <v>9</v>
      </c>
      <c r="G10">
        <v>90</v>
      </c>
      <c r="H10">
        <v>8.8000000000000007</v>
      </c>
      <c r="I10">
        <v>21.2</v>
      </c>
      <c r="J10">
        <v>13.4</v>
      </c>
      <c r="K10">
        <v>26.7</v>
      </c>
      <c r="L10">
        <v>17.899999999999999</v>
      </c>
      <c r="M10">
        <v>13.4</v>
      </c>
      <c r="N10">
        <v>40</v>
      </c>
      <c r="O10">
        <v>24.8</v>
      </c>
      <c r="P10">
        <v>19.5</v>
      </c>
      <c r="Q10">
        <v>7.8</v>
      </c>
      <c r="R10">
        <v>12.6</v>
      </c>
      <c r="S10">
        <v>0</v>
      </c>
      <c r="T10">
        <v>17.399999999999999</v>
      </c>
      <c r="U10">
        <v>16</v>
      </c>
      <c r="V10">
        <v>29.1</v>
      </c>
      <c r="W10">
        <v>16.2</v>
      </c>
      <c r="X10">
        <v>20.5</v>
      </c>
      <c r="Y10">
        <v>305.3</v>
      </c>
      <c r="Z10">
        <v>18.600000000000001</v>
      </c>
      <c r="AA10">
        <v>7</v>
      </c>
      <c r="AB10">
        <v>1</v>
      </c>
      <c r="AC10">
        <v>15</v>
      </c>
      <c r="AD10">
        <v>11</v>
      </c>
      <c r="AE10">
        <v>6</v>
      </c>
      <c r="AF10">
        <v>3</v>
      </c>
      <c r="AG10">
        <v>1</v>
      </c>
      <c r="AH10">
        <v>0.88235294117647056</v>
      </c>
      <c r="AI10">
        <v>0.6470588235294118</v>
      </c>
      <c r="AJ10">
        <v>0.35294117647058826</v>
      </c>
      <c r="AK10">
        <v>0.17647058823529413</v>
      </c>
      <c r="AL10">
        <v>5.8823529411764705E-2</v>
      </c>
    </row>
    <row r="11" spans="1:38" x14ac:dyDescent="0.25">
      <c r="A11">
        <v>2025</v>
      </c>
      <c r="B11" t="s">
        <v>147</v>
      </c>
      <c r="C11" t="s">
        <v>35</v>
      </c>
      <c r="D11" t="str" cm="1">
        <f t="array" ref="D11">_xlfn.XLOOKUP(1,('26 WR'!A:A=E11)*('26 WR'!B:B=F11),'26 WR'!C:C)</f>
        <v>Dak Prescott</v>
      </c>
      <c r="E11" t="s">
        <v>67</v>
      </c>
      <c r="F11">
        <v>10</v>
      </c>
      <c r="G11">
        <v>93</v>
      </c>
      <c r="H11">
        <v>7.8</v>
      </c>
      <c r="I11">
        <v>23.1</v>
      </c>
      <c r="J11">
        <v>14</v>
      </c>
      <c r="K11">
        <v>31</v>
      </c>
      <c r="L11">
        <v>28.3</v>
      </c>
      <c r="M11">
        <v>22.3</v>
      </c>
      <c r="N11">
        <v>23.3</v>
      </c>
      <c r="O11">
        <v>8.6</v>
      </c>
      <c r="P11">
        <v>16.399999999999999</v>
      </c>
      <c r="Q11">
        <v>0</v>
      </c>
      <c r="R11">
        <v>24.3</v>
      </c>
      <c r="S11">
        <v>28.1</v>
      </c>
      <c r="T11">
        <v>21.6</v>
      </c>
      <c r="U11">
        <v>20.399999999999999</v>
      </c>
      <c r="V11">
        <v>12</v>
      </c>
      <c r="W11">
        <v>19.2</v>
      </c>
      <c r="X11">
        <v>22.7</v>
      </c>
      <c r="Y11">
        <v>323.09999999999997</v>
      </c>
      <c r="Z11">
        <v>19</v>
      </c>
      <c r="AA11">
        <v>5</v>
      </c>
      <c r="AB11">
        <v>1</v>
      </c>
      <c r="AC11">
        <v>14</v>
      </c>
      <c r="AD11">
        <v>12</v>
      </c>
      <c r="AE11">
        <v>10</v>
      </c>
      <c r="AF11">
        <v>3</v>
      </c>
      <c r="AG11">
        <v>1</v>
      </c>
      <c r="AH11">
        <v>0.82352941176470584</v>
      </c>
      <c r="AI11">
        <v>0.70588235294117652</v>
      </c>
      <c r="AJ11">
        <v>0.58823529411764708</v>
      </c>
      <c r="AK11">
        <v>0.17647058823529413</v>
      </c>
      <c r="AL11">
        <v>5.8823529411764705E-2</v>
      </c>
    </row>
    <row r="12" spans="1:38" x14ac:dyDescent="0.25">
      <c r="A12">
        <v>2025</v>
      </c>
      <c r="B12" t="s">
        <v>158</v>
      </c>
      <c r="C12" t="s">
        <v>45</v>
      </c>
      <c r="D12" t="str" cm="1">
        <f t="array" ref="D12">_xlfn.XLOOKUP(1,('26 WR'!A:A=E12)*('26 WR'!B:B=F12),'26 WR'!C:C)</f>
        <v>Jaxson Dart</v>
      </c>
      <c r="E12" t="s">
        <v>67</v>
      </c>
      <c r="F12">
        <v>11</v>
      </c>
      <c r="G12">
        <v>104</v>
      </c>
      <c r="H12">
        <v>18.3</v>
      </c>
      <c r="I12">
        <v>15</v>
      </c>
      <c r="J12">
        <v>14.1</v>
      </c>
      <c r="K12">
        <v>18.100000000000001</v>
      </c>
      <c r="L12">
        <v>15.3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80.8</v>
      </c>
      <c r="Z12">
        <v>16.2</v>
      </c>
      <c r="AA12">
        <v>38</v>
      </c>
      <c r="AB12">
        <v>1</v>
      </c>
      <c r="AC12">
        <v>5</v>
      </c>
      <c r="AD12">
        <v>3</v>
      </c>
      <c r="AE12">
        <v>0</v>
      </c>
      <c r="AF12">
        <v>0</v>
      </c>
      <c r="AG12">
        <v>0</v>
      </c>
      <c r="AH12">
        <v>0.29411764705882354</v>
      </c>
      <c r="AI12">
        <v>0.6</v>
      </c>
      <c r="AJ12">
        <v>0</v>
      </c>
      <c r="AK12">
        <v>0</v>
      </c>
      <c r="AL12">
        <v>0</v>
      </c>
    </row>
    <row r="13" spans="1:38" x14ac:dyDescent="0.25">
      <c r="A13">
        <v>2025</v>
      </c>
      <c r="B13" t="s">
        <v>161</v>
      </c>
      <c r="C13" t="s">
        <v>110</v>
      </c>
      <c r="D13" t="str" cm="1">
        <f t="array" ref="D13">_xlfn.XLOOKUP(1,('26 WR'!A:A=E13)*('26 WR'!B:B=F13),'26 WR'!C:C)</f>
        <v>Brock Purdy</v>
      </c>
      <c r="E13" t="s">
        <v>67</v>
      </c>
      <c r="F13">
        <v>12</v>
      </c>
      <c r="G13">
        <v>107</v>
      </c>
      <c r="H13">
        <v>24.2</v>
      </c>
      <c r="I13">
        <v>18</v>
      </c>
      <c r="J13">
        <v>29.1</v>
      </c>
      <c r="K13">
        <v>12.8</v>
      </c>
      <c r="L13">
        <v>0</v>
      </c>
      <c r="M13">
        <v>19.899999999999999</v>
      </c>
      <c r="N13">
        <v>5.7</v>
      </c>
      <c r="O13">
        <v>12.8</v>
      </c>
      <c r="P13">
        <v>36.700000000000003</v>
      </c>
      <c r="Q13">
        <v>25.1</v>
      </c>
      <c r="R13">
        <v>10.3</v>
      </c>
      <c r="S13">
        <v>21.7</v>
      </c>
      <c r="T13">
        <v>10.5</v>
      </c>
      <c r="U13">
        <v>15.9</v>
      </c>
      <c r="V13">
        <v>19</v>
      </c>
      <c r="W13">
        <v>21</v>
      </c>
      <c r="X13">
        <v>23</v>
      </c>
      <c r="Y13">
        <v>305.7</v>
      </c>
      <c r="Z13">
        <v>19</v>
      </c>
      <c r="AA13">
        <v>6</v>
      </c>
      <c r="AB13">
        <v>1</v>
      </c>
      <c r="AC13">
        <v>16</v>
      </c>
      <c r="AD13">
        <v>12</v>
      </c>
      <c r="AE13">
        <v>7</v>
      </c>
      <c r="AF13">
        <v>3</v>
      </c>
      <c r="AG13">
        <v>1</v>
      </c>
      <c r="AH13">
        <v>0.94117647058823528</v>
      </c>
      <c r="AI13">
        <v>0.70588235294117652</v>
      </c>
      <c r="AJ13">
        <v>0.41176470588235292</v>
      </c>
      <c r="AK13">
        <v>0.17647058823529413</v>
      </c>
      <c r="AL13">
        <v>5.8823529411764705E-2</v>
      </c>
    </row>
    <row r="14" spans="1:38" x14ac:dyDescent="0.25">
      <c r="A14">
        <v>2025</v>
      </c>
      <c r="B14" t="s">
        <v>163</v>
      </c>
      <c r="C14" t="s">
        <v>26</v>
      </c>
      <c r="D14" t="str" cm="1">
        <f t="array" ref="D14">_xlfn.XLOOKUP(1,('26 WR'!A:A=E14)*('26 WR'!B:B=F14),'26 WR'!C:C)</f>
        <v>Patrick Mahomes II</v>
      </c>
      <c r="E14" t="s">
        <v>67</v>
      </c>
      <c r="F14">
        <v>13</v>
      </c>
      <c r="G14">
        <v>109</v>
      </c>
      <c r="H14">
        <v>18.8</v>
      </c>
      <c r="I14">
        <v>0</v>
      </c>
      <c r="J14">
        <v>0</v>
      </c>
      <c r="K14">
        <v>19.7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19.3</v>
      </c>
      <c r="S14">
        <v>10.3</v>
      </c>
      <c r="T14">
        <v>17.100000000000001</v>
      </c>
      <c r="U14">
        <v>0</v>
      </c>
      <c r="V14">
        <v>26.2</v>
      </c>
      <c r="W14">
        <v>31.9</v>
      </c>
      <c r="X14">
        <v>37.9</v>
      </c>
      <c r="Y14">
        <v>181.2</v>
      </c>
      <c r="Z14">
        <v>20.8</v>
      </c>
      <c r="AA14">
        <v>15</v>
      </c>
      <c r="AB14">
        <v>1</v>
      </c>
      <c r="AC14">
        <v>8</v>
      </c>
      <c r="AD14">
        <v>7</v>
      </c>
      <c r="AE14">
        <v>3</v>
      </c>
      <c r="AF14">
        <v>3</v>
      </c>
      <c r="AG14">
        <v>2</v>
      </c>
      <c r="AH14">
        <v>0.47058823529411764</v>
      </c>
      <c r="AI14">
        <v>0.77777777777777779</v>
      </c>
      <c r="AJ14">
        <v>0.33333333333333331</v>
      </c>
      <c r="AK14">
        <v>0.33333333333333331</v>
      </c>
      <c r="AL14">
        <v>0.22222222222222221</v>
      </c>
    </row>
    <row r="15" spans="1:38" x14ac:dyDescent="0.25">
      <c r="A15">
        <v>2025</v>
      </c>
      <c r="B15" t="s">
        <v>167</v>
      </c>
      <c r="C15" t="s">
        <v>37</v>
      </c>
      <c r="D15" t="str" cm="1">
        <f t="array" ref="D15">_xlfn.XLOOKUP(1,('26 WR'!A:A=E15)*('26 WR'!B:B=F15),'26 WR'!C:C)</f>
        <v>Bo Nix</v>
      </c>
      <c r="E15" t="s">
        <v>67</v>
      </c>
      <c r="F15">
        <v>14</v>
      </c>
      <c r="G15">
        <v>113</v>
      </c>
      <c r="H15">
        <v>11.9</v>
      </c>
      <c r="I15">
        <v>34</v>
      </c>
      <c r="J15">
        <v>12.7</v>
      </c>
      <c r="K15">
        <v>13.7</v>
      </c>
      <c r="L15">
        <v>20.100000000000001</v>
      </c>
      <c r="M15">
        <v>16.8</v>
      </c>
      <c r="N15">
        <v>11.3</v>
      </c>
      <c r="O15">
        <v>0</v>
      </c>
      <c r="P15">
        <v>19.399999999999999</v>
      </c>
      <c r="Q15">
        <v>24.8</v>
      </c>
      <c r="R15">
        <v>13.1</v>
      </c>
      <c r="S15">
        <v>18.2</v>
      </c>
      <c r="T15">
        <v>20.6</v>
      </c>
      <c r="U15">
        <v>16.2</v>
      </c>
      <c r="V15">
        <v>25.5</v>
      </c>
      <c r="W15">
        <v>26.5</v>
      </c>
      <c r="X15">
        <v>4.0999999999999996</v>
      </c>
      <c r="Y15">
        <v>288.89999999999998</v>
      </c>
      <c r="Z15">
        <v>17.899999999999999</v>
      </c>
      <c r="AA15">
        <v>8</v>
      </c>
      <c r="AB15">
        <v>1</v>
      </c>
      <c r="AC15">
        <v>16</v>
      </c>
      <c r="AD15">
        <v>11</v>
      </c>
      <c r="AE15">
        <v>6</v>
      </c>
      <c r="AF15">
        <v>3</v>
      </c>
      <c r="AG15">
        <v>1</v>
      </c>
      <c r="AH15">
        <v>0.94117647058823528</v>
      </c>
      <c r="AI15">
        <v>0.6470588235294118</v>
      </c>
      <c r="AJ15">
        <v>0.35294117647058826</v>
      </c>
      <c r="AK15">
        <v>0.17647058823529413</v>
      </c>
      <c r="AL15">
        <v>5.8823529411764705E-2</v>
      </c>
    </row>
    <row r="16" spans="1:38" x14ac:dyDescent="0.25">
      <c r="A16">
        <v>2025</v>
      </c>
      <c r="B16" t="s">
        <v>170</v>
      </c>
      <c r="C16" t="s">
        <v>78</v>
      </c>
      <c r="D16" t="str" cm="1">
        <f t="array" ref="D16">_xlfn.XLOOKUP(1,('26 WR'!A:A=E16)*('26 WR'!B:B=F16),'26 WR'!C:C)</f>
        <v>Matthew Stafford</v>
      </c>
      <c r="E16" t="s">
        <v>67</v>
      </c>
      <c r="F16">
        <v>15</v>
      </c>
      <c r="G16">
        <v>116</v>
      </c>
      <c r="H16">
        <v>15.8</v>
      </c>
      <c r="I16">
        <v>26.3</v>
      </c>
      <c r="J16">
        <v>20.2</v>
      </c>
      <c r="K16">
        <v>23.2</v>
      </c>
      <c r="L16">
        <v>12.1</v>
      </c>
      <c r="M16">
        <v>27.2</v>
      </c>
      <c r="N16">
        <v>23.1</v>
      </c>
      <c r="O16">
        <v>27.3</v>
      </c>
      <c r="P16">
        <v>17.399999999999999</v>
      </c>
      <c r="Q16">
        <v>19.100000000000001</v>
      </c>
      <c r="R16">
        <v>15.4</v>
      </c>
      <c r="S16">
        <v>17</v>
      </c>
      <c r="T16">
        <v>20.5</v>
      </c>
      <c r="U16">
        <v>0</v>
      </c>
      <c r="V16">
        <v>21.5</v>
      </c>
      <c r="W16">
        <v>24.7</v>
      </c>
      <c r="X16">
        <v>32.4</v>
      </c>
      <c r="Y16">
        <v>343.2</v>
      </c>
      <c r="Z16">
        <v>21.1</v>
      </c>
      <c r="AA16">
        <v>2</v>
      </c>
      <c r="AB16">
        <v>1</v>
      </c>
      <c r="AC16">
        <v>17</v>
      </c>
      <c r="AD16">
        <v>16</v>
      </c>
      <c r="AE16">
        <v>10</v>
      </c>
      <c r="AF16">
        <v>4</v>
      </c>
      <c r="AG16">
        <v>1</v>
      </c>
      <c r="AH16">
        <v>1</v>
      </c>
      <c r="AI16">
        <v>0.94117647058823528</v>
      </c>
      <c r="AJ16">
        <v>0.58823529411764708</v>
      </c>
      <c r="AK16">
        <v>0.23529411764705882</v>
      </c>
      <c r="AL16">
        <v>5.8823529411764705E-2</v>
      </c>
    </row>
    <row r="17" spans="1:38" x14ac:dyDescent="0.25">
      <c r="A17">
        <v>2025</v>
      </c>
      <c r="B17" t="s">
        <v>183</v>
      </c>
      <c r="C17" t="s">
        <v>59</v>
      </c>
      <c r="D17" t="str" cm="1">
        <f t="array" ref="D17">_xlfn.XLOOKUP(1,('26 WR'!A:A=E17)*('26 WR'!B:B=F17),'26 WR'!C:C)</f>
        <v>Jared Goff</v>
      </c>
      <c r="E17" t="s">
        <v>67</v>
      </c>
      <c r="F17">
        <v>16</v>
      </c>
      <c r="G17">
        <v>129</v>
      </c>
      <c r="H17">
        <v>7.3</v>
      </c>
      <c r="I17">
        <v>19.600000000000001</v>
      </c>
      <c r="J17">
        <v>13.8</v>
      </c>
      <c r="K17">
        <v>15.7</v>
      </c>
      <c r="L17">
        <v>22.7</v>
      </c>
      <c r="M17">
        <v>9.6</v>
      </c>
      <c r="N17">
        <v>1.6</v>
      </c>
      <c r="O17">
        <v>24.2</v>
      </c>
      <c r="P17">
        <v>9.5</v>
      </c>
      <c r="Q17">
        <v>12.8</v>
      </c>
      <c r="R17">
        <v>6.8</v>
      </c>
      <c r="S17">
        <v>0</v>
      </c>
      <c r="T17">
        <v>5.7</v>
      </c>
      <c r="U17">
        <v>9.1</v>
      </c>
      <c r="V17">
        <v>17.2</v>
      </c>
      <c r="W17">
        <v>0</v>
      </c>
      <c r="X17">
        <v>0</v>
      </c>
      <c r="Y17">
        <v>175.6</v>
      </c>
      <c r="Z17">
        <v>12.6</v>
      </c>
      <c r="AA17">
        <v>16</v>
      </c>
      <c r="AB17">
        <v>1</v>
      </c>
      <c r="AC17">
        <v>7</v>
      </c>
      <c r="AD17">
        <v>5</v>
      </c>
      <c r="AE17">
        <v>2</v>
      </c>
      <c r="AF17">
        <v>0</v>
      </c>
      <c r="AG17">
        <v>0</v>
      </c>
      <c r="AH17">
        <v>0.41176470588235292</v>
      </c>
      <c r="AI17">
        <v>0.35714285714285715</v>
      </c>
      <c r="AJ17">
        <v>0.14285714285714285</v>
      </c>
      <c r="AK17">
        <v>0</v>
      </c>
      <c r="AL17">
        <v>0</v>
      </c>
    </row>
    <row r="18" spans="1:38" x14ac:dyDescent="0.25">
      <c r="A18">
        <v>2025</v>
      </c>
      <c r="B18" t="s">
        <v>185</v>
      </c>
      <c r="C18" t="s">
        <v>65</v>
      </c>
      <c r="D18" t="str" cm="1">
        <f t="array" ref="D18">_xlfn.XLOOKUP(1,('26 WR'!A:A=E18)*('26 WR'!B:B=F18),'26 WR'!C:C)</f>
        <v>Kyler Murray</v>
      </c>
      <c r="E18" t="s">
        <v>67</v>
      </c>
      <c r="F18">
        <v>17</v>
      </c>
      <c r="G18">
        <v>131</v>
      </c>
      <c r="H18">
        <v>27.9</v>
      </c>
      <c r="I18">
        <v>18.8</v>
      </c>
      <c r="J18">
        <v>15.6</v>
      </c>
      <c r="K18">
        <v>14.5</v>
      </c>
      <c r="L18">
        <v>15.6</v>
      </c>
      <c r="M18">
        <v>18.8</v>
      </c>
      <c r="N18">
        <v>29.9</v>
      </c>
      <c r="O18">
        <v>26.3</v>
      </c>
      <c r="P18">
        <v>28.7</v>
      </c>
      <c r="Q18">
        <v>14.7</v>
      </c>
      <c r="R18">
        <v>4.3</v>
      </c>
      <c r="S18">
        <v>0</v>
      </c>
      <c r="T18">
        <v>13.8</v>
      </c>
      <c r="U18">
        <v>13.2</v>
      </c>
      <c r="V18">
        <v>11.4</v>
      </c>
      <c r="W18">
        <v>30.2</v>
      </c>
      <c r="X18">
        <v>16.100000000000001</v>
      </c>
      <c r="Y18">
        <v>299.8</v>
      </c>
      <c r="Z18">
        <v>18.7</v>
      </c>
      <c r="AA18">
        <v>10</v>
      </c>
      <c r="AB18">
        <v>1</v>
      </c>
      <c r="AC18">
        <v>15</v>
      </c>
      <c r="AD18">
        <v>10</v>
      </c>
      <c r="AE18">
        <v>5</v>
      </c>
      <c r="AF18">
        <v>5</v>
      </c>
      <c r="AG18">
        <v>1</v>
      </c>
      <c r="AH18">
        <v>0.88235294117647056</v>
      </c>
      <c r="AI18">
        <v>0.625</v>
      </c>
      <c r="AJ18">
        <v>0.3125</v>
      </c>
      <c r="AK18">
        <v>0.3125</v>
      </c>
      <c r="AL18">
        <v>6.25E-2</v>
      </c>
    </row>
    <row r="19" spans="1:38" x14ac:dyDescent="0.25">
      <c r="A19">
        <v>2025</v>
      </c>
      <c r="B19" t="s">
        <v>188</v>
      </c>
      <c r="C19" t="s">
        <v>92</v>
      </c>
      <c r="D19" t="str" cm="1">
        <f t="array" ref="D19">_xlfn.XLOOKUP(1,('26 WR'!A:A=E19)*('26 WR'!B:B=F19),'26 WR'!C:C)</f>
        <v>Jordan Love</v>
      </c>
      <c r="E19" t="s">
        <v>67</v>
      </c>
      <c r="F19">
        <v>18</v>
      </c>
      <c r="G19">
        <v>134</v>
      </c>
      <c r="H19">
        <v>10.199999999999999</v>
      </c>
      <c r="I19">
        <v>22.3</v>
      </c>
      <c r="J19">
        <v>11.6</v>
      </c>
      <c r="K19">
        <v>10.3</v>
      </c>
      <c r="L19">
        <v>13</v>
      </c>
      <c r="M19">
        <v>19.5</v>
      </c>
      <c r="N19">
        <v>10.5</v>
      </c>
      <c r="O19">
        <v>0</v>
      </c>
      <c r="P19">
        <v>4</v>
      </c>
      <c r="Q19">
        <v>2.6</v>
      </c>
      <c r="R19">
        <v>31.8</v>
      </c>
      <c r="S19">
        <v>10.3</v>
      </c>
      <c r="T19">
        <v>22.5</v>
      </c>
      <c r="U19">
        <v>0</v>
      </c>
      <c r="V19">
        <v>15.4</v>
      </c>
      <c r="W19">
        <v>17.600000000000001</v>
      </c>
      <c r="X19">
        <v>9.9</v>
      </c>
      <c r="Y19">
        <v>211.50000000000003</v>
      </c>
      <c r="Z19">
        <v>14.3</v>
      </c>
      <c r="AA19">
        <v>19</v>
      </c>
      <c r="AB19">
        <v>1</v>
      </c>
      <c r="AC19">
        <v>13</v>
      </c>
      <c r="AD19">
        <v>7</v>
      </c>
      <c r="AE19">
        <v>3</v>
      </c>
      <c r="AF19">
        <v>1</v>
      </c>
      <c r="AG19">
        <v>1</v>
      </c>
      <c r="AH19">
        <v>0.76470588235294112</v>
      </c>
      <c r="AI19">
        <v>0.4375</v>
      </c>
      <c r="AJ19">
        <v>0.1875</v>
      </c>
      <c r="AK19">
        <v>6.25E-2</v>
      </c>
      <c r="AL19">
        <v>6.25E-2</v>
      </c>
    </row>
    <row r="20" spans="1:38" x14ac:dyDescent="0.25">
      <c r="A20">
        <v>2025</v>
      </c>
      <c r="B20" t="s">
        <v>191</v>
      </c>
      <c r="C20" t="s">
        <v>114</v>
      </c>
      <c r="D20" t="str" cm="1">
        <f t="array" ref="D20">_xlfn.XLOOKUP(1,('26 WR'!A:A=E20)*('26 WR'!B:B=F20),'26 WR'!C:C)</f>
        <v>Baker Mayfield</v>
      </c>
      <c r="E20" t="s">
        <v>67</v>
      </c>
      <c r="F20">
        <v>19</v>
      </c>
      <c r="G20">
        <v>137</v>
      </c>
      <c r="H20">
        <v>2.5</v>
      </c>
      <c r="I20">
        <v>9.8000000000000007</v>
      </c>
      <c r="J20">
        <v>13</v>
      </c>
      <c r="K20">
        <v>5.5</v>
      </c>
      <c r="L20">
        <v>9</v>
      </c>
      <c r="M20">
        <v>7.9</v>
      </c>
      <c r="N20">
        <v>11.2</v>
      </c>
      <c r="O20">
        <v>13.8</v>
      </c>
      <c r="P20">
        <v>6.4</v>
      </c>
      <c r="Q20">
        <v>0</v>
      </c>
      <c r="R20">
        <v>13.1</v>
      </c>
      <c r="S20">
        <v>23.9</v>
      </c>
      <c r="T20">
        <v>6.3</v>
      </c>
      <c r="U20">
        <v>12.1</v>
      </c>
      <c r="V20">
        <v>15</v>
      </c>
      <c r="W20">
        <v>18</v>
      </c>
      <c r="X20">
        <v>17</v>
      </c>
      <c r="Y20">
        <v>184.5</v>
      </c>
      <c r="Z20">
        <v>11.4</v>
      </c>
      <c r="AA20">
        <v>15</v>
      </c>
      <c r="AB20">
        <v>1</v>
      </c>
      <c r="AC20">
        <v>9</v>
      </c>
      <c r="AD20">
        <v>3</v>
      </c>
      <c r="AE20">
        <v>1</v>
      </c>
      <c r="AF20">
        <v>0</v>
      </c>
      <c r="AG20">
        <v>0</v>
      </c>
      <c r="AH20">
        <v>0.52941176470588236</v>
      </c>
      <c r="AI20">
        <v>0.17647058823529413</v>
      </c>
      <c r="AJ20">
        <v>5.8823529411764705E-2</v>
      </c>
      <c r="AK20">
        <v>0</v>
      </c>
      <c r="AL20">
        <v>0</v>
      </c>
    </row>
    <row r="21" spans="1:38" x14ac:dyDescent="0.25">
      <c r="A21">
        <v>2025</v>
      </c>
      <c r="B21" t="s">
        <v>196</v>
      </c>
      <c r="C21" t="s">
        <v>29</v>
      </c>
      <c r="D21" t="str" cm="1">
        <f t="array" ref="D21">_xlfn.XLOOKUP(1,('26 WR'!A:A=E21)*('26 WR'!B:B=F21),'26 WR'!C:C)</f>
        <v>Tyler Shough</v>
      </c>
      <c r="E21" t="s">
        <v>67</v>
      </c>
      <c r="F21">
        <v>20</v>
      </c>
      <c r="G21">
        <v>142</v>
      </c>
      <c r="H21">
        <v>18.5</v>
      </c>
      <c r="I21">
        <v>6.2</v>
      </c>
      <c r="J21">
        <v>26.1</v>
      </c>
      <c r="K21">
        <v>12.8</v>
      </c>
      <c r="L21">
        <v>7.9</v>
      </c>
      <c r="M21">
        <v>9.6999999999999993</v>
      </c>
      <c r="N21">
        <v>2.8</v>
      </c>
      <c r="O21">
        <v>0</v>
      </c>
      <c r="P21">
        <v>27.3</v>
      </c>
      <c r="Q21">
        <v>5.4</v>
      </c>
      <c r="R21">
        <v>13.9</v>
      </c>
      <c r="S21">
        <v>14.2</v>
      </c>
      <c r="T21">
        <v>13</v>
      </c>
      <c r="U21">
        <v>9</v>
      </c>
      <c r="V21">
        <v>0</v>
      </c>
      <c r="W21">
        <v>15</v>
      </c>
      <c r="X21">
        <v>9.1</v>
      </c>
      <c r="Y21">
        <v>190.89999999999998</v>
      </c>
      <c r="Z21">
        <v>12.7</v>
      </c>
      <c r="AA21">
        <v>15</v>
      </c>
      <c r="AB21">
        <v>1</v>
      </c>
      <c r="AC21">
        <v>8</v>
      </c>
      <c r="AD21">
        <v>3</v>
      </c>
      <c r="AE21">
        <v>2</v>
      </c>
      <c r="AF21">
        <v>2</v>
      </c>
      <c r="AG21">
        <v>0</v>
      </c>
      <c r="AH21">
        <v>0.47058823529411764</v>
      </c>
      <c r="AI21">
        <v>0.2</v>
      </c>
      <c r="AJ21">
        <v>0.13333333333333333</v>
      </c>
      <c r="AK21">
        <v>0.13333333333333333</v>
      </c>
      <c r="AL21">
        <v>0</v>
      </c>
    </row>
    <row r="22" spans="1:38" x14ac:dyDescent="0.25">
      <c r="A22">
        <v>2025</v>
      </c>
      <c r="B22" t="s">
        <v>202</v>
      </c>
      <c r="C22" t="s">
        <v>49</v>
      </c>
      <c r="D22" t="str" cm="1">
        <f t="array" ref="D22">_xlfn.XLOOKUP(1,('26 WR'!A:A=E22)*('26 WR'!B:B=F22),'26 WR'!C:C)</f>
        <v>Malik Willis</v>
      </c>
      <c r="E22" t="s">
        <v>67</v>
      </c>
      <c r="F22">
        <v>21</v>
      </c>
      <c r="G22">
        <v>148</v>
      </c>
      <c r="H22">
        <v>13.6</v>
      </c>
      <c r="I22">
        <v>18.3</v>
      </c>
      <c r="J22">
        <v>14.8</v>
      </c>
      <c r="K22">
        <v>27.4</v>
      </c>
      <c r="L22">
        <v>25.6</v>
      </c>
      <c r="M22">
        <v>9.3000000000000007</v>
      </c>
      <c r="N22">
        <v>27.4</v>
      </c>
      <c r="O22">
        <v>0</v>
      </c>
      <c r="P22">
        <v>26.8</v>
      </c>
      <c r="Q22">
        <v>26.9</v>
      </c>
      <c r="R22">
        <v>13.2</v>
      </c>
      <c r="S22">
        <v>22.9</v>
      </c>
      <c r="T22">
        <v>13.6</v>
      </c>
      <c r="U22">
        <v>23.2</v>
      </c>
      <c r="V22">
        <v>21.9</v>
      </c>
      <c r="W22">
        <v>30.9</v>
      </c>
      <c r="X22">
        <v>15.8</v>
      </c>
      <c r="Y22">
        <v>331.59999999999997</v>
      </c>
      <c r="Z22">
        <v>21.1</v>
      </c>
      <c r="AA22">
        <v>3</v>
      </c>
      <c r="AB22">
        <v>1</v>
      </c>
      <c r="AC22">
        <v>16</v>
      </c>
      <c r="AD22">
        <v>12</v>
      </c>
      <c r="AE22">
        <v>10</v>
      </c>
      <c r="AF22">
        <v>7</v>
      </c>
      <c r="AG22">
        <v>1</v>
      </c>
      <c r="AH22">
        <v>0.94117647058823528</v>
      </c>
      <c r="AI22">
        <v>0.70588235294117652</v>
      </c>
      <c r="AJ22">
        <v>0.58823529411764708</v>
      </c>
      <c r="AK22">
        <v>0.41176470588235292</v>
      </c>
      <c r="AL22">
        <v>5.8823529411764705E-2</v>
      </c>
    </row>
    <row r="23" spans="1:38" x14ac:dyDescent="0.25">
      <c r="A23">
        <v>2025</v>
      </c>
      <c r="B23" t="s">
        <v>205</v>
      </c>
      <c r="C23" t="s">
        <v>74</v>
      </c>
      <c r="D23" t="str" cm="1">
        <f t="array" ref="D23">_xlfn.XLOOKUP(1,('26 WR'!A:A=E23)*('26 WR'!B:B=F23),'26 WR'!C:C)</f>
        <v>C.J. Stroud</v>
      </c>
      <c r="E23" t="s">
        <v>67</v>
      </c>
      <c r="F23">
        <v>22</v>
      </c>
      <c r="G23">
        <v>151</v>
      </c>
      <c r="H23">
        <v>5.4</v>
      </c>
      <c r="I23">
        <v>17.8</v>
      </c>
      <c r="J23">
        <v>16.7</v>
      </c>
      <c r="K23">
        <v>16.100000000000001</v>
      </c>
      <c r="L23">
        <v>28.6</v>
      </c>
      <c r="M23">
        <v>20</v>
      </c>
      <c r="N23">
        <v>9.6</v>
      </c>
      <c r="O23">
        <v>0</v>
      </c>
      <c r="P23">
        <v>28.2</v>
      </c>
      <c r="Q23">
        <v>5.9</v>
      </c>
      <c r="R23">
        <v>8.3000000000000007</v>
      </c>
      <c r="S23">
        <v>17.7</v>
      </c>
      <c r="T23">
        <v>3.1</v>
      </c>
      <c r="U23">
        <v>23.3</v>
      </c>
      <c r="V23">
        <v>11.3</v>
      </c>
      <c r="W23">
        <v>21.5</v>
      </c>
      <c r="X23">
        <v>7.1</v>
      </c>
      <c r="Y23">
        <v>240.60000000000002</v>
      </c>
      <c r="Z23">
        <v>14.7</v>
      </c>
      <c r="AA23">
        <v>13</v>
      </c>
      <c r="AB23">
        <v>1</v>
      </c>
      <c r="AC23">
        <v>10</v>
      </c>
      <c r="AD23">
        <v>9</v>
      </c>
      <c r="AE23">
        <v>4</v>
      </c>
      <c r="AF23">
        <v>2</v>
      </c>
      <c r="AG23">
        <v>0</v>
      </c>
      <c r="AH23">
        <v>0.58823529411764708</v>
      </c>
      <c r="AI23">
        <v>0.52941176470588236</v>
      </c>
      <c r="AJ23">
        <v>0.23529411764705882</v>
      </c>
      <c r="AK23">
        <v>0.11764705882352941</v>
      </c>
      <c r="AL23">
        <v>0</v>
      </c>
    </row>
    <row r="24" spans="1:38" x14ac:dyDescent="0.25">
      <c r="A24">
        <v>2025</v>
      </c>
      <c r="B24" t="s">
        <v>213</v>
      </c>
      <c r="C24" t="s">
        <v>31</v>
      </c>
      <c r="D24" t="str" cm="1">
        <f t="array" ref="D24">_xlfn.XLOOKUP(1,('26 WR'!A:A=E24)*('26 WR'!B:B=F24),'26 WR'!C:C)</f>
        <v>Sam Darnold</v>
      </c>
      <c r="E24" t="s">
        <v>67</v>
      </c>
      <c r="F24">
        <v>23</v>
      </c>
      <c r="G24">
        <v>159</v>
      </c>
      <c r="H24">
        <v>23.2</v>
      </c>
      <c r="I24">
        <v>4.8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19.899999999999999</v>
      </c>
      <c r="Q24">
        <v>16.7</v>
      </c>
      <c r="R24">
        <v>8</v>
      </c>
      <c r="S24">
        <v>2.5</v>
      </c>
      <c r="T24">
        <v>0</v>
      </c>
      <c r="U24">
        <v>20.399999999999999</v>
      </c>
      <c r="V24">
        <v>24.5</v>
      </c>
      <c r="W24">
        <v>9.3000000000000007</v>
      </c>
      <c r="X24">
        <v>0</v>
      </c>
      <c r="Y24">
        <v>129.30000000000001</v>
      </c>
      <c r="Z24">
        <v>13.7</v>
      </c>
      <c r="AA24">
        <v>10</v>
      </c>
      <c r="AB24">
        <v>1</v>
      </c>
      <c r="AC24">
        <v>5</v>
      </c>
      <c r="AD24">
        <v>5</v>
      </c>
      <c r="AE24">
        <v>3</v>
      </c>
      <c r="AF24">
        <v>0</v>
      </c>
      <c r="AG24">
        <v>0</v>
      </c>
      <c r="AH24">
        <v>0.29411764705882354</v>
      </c>
      <c r="AI24">
        <v>0.5</v>
      </c>
      <c r="AJ24">
        <v>0.3</v>
      </c>
      <c r="AK24">
        <v>0</v>
      </c>
      <c r="AL24">
        <v>0</v>
      </c>
    </row>
    <row r="25" spans="1:38" x14ac:dyDescent="0.25">
      <c r="A25">
        <v>2025</v>
      </c>
      <c r="B25" t="s">
        <v>219</v>
      </c>
      <c r="C25" t="s">
        <v>108</v>
      </c>
      <c r="D25" t="str" cm="1">
        <f t="array" ref="D25">_xlfn.XLOOKUP(1,('26 WR'!A:A=E25)*('26 WR'!B:B=F25),'26 WR'!C:C)</f>
        <v>Cam Ward</v>
      </c>
      <c r="E25" t="s">
        <v>67</v>
      </c>
      <c r="F25">
        <v>24</v>
      </c>
      <c r="G25">
        <v>165</v>
      </c>
      <c r="H25">
        <v>25.7</v>
      </c>
      <c r="I25">
        <v>12.4</v>
      </c>
      <c r="J25">
        <v>12.7</v>
      </c>
      <c r="K25">
        <v>12.8</v>
      </c>
      <c r="L25">
        <v>0</v>
      </c>
      <c r="M25">
        <v>17.5</v>
      </c>
      <c r="N25">
        <v>24.6</v>
      </c>
      <c r="O25">
        <v>16.8</v>
      </c>
      <c r="P25">
        <v>12.1</v>
      </c>
      <c r="Q25">
        <v>8.4</v>
      </c>
      <c r="R25">
        <v>9.4</v>
      </c>
      <c r="S25">
        <v>0</v>
      </c>
      <c r="T25">
        <v>2.7</v>
      </c>
      <c r="U25">
        <v>20.5</v>
      </c>
      <c r="V25">
        <v>17</v>
      </c>
      <c r="W25">
        <v>15.5</v>
      </c>
      <c r="X25">
        <v>7.3</v>
      </c>
      <c r="Y25">
        <v>215.4</v>
      </c>
      <c r="Z25">
        <v>14.6</v>
      </c>
      <c r="AA25">
        <v>18</v>
      </c>
      <c r="AB25">
        <v>1</v>
      </c>
      <c r="AC25">
        <v>12</v>
      </c>
      <c r="AD25">
        <v>8</v>
      </c>
      <c r="AE25">
        <v>3</v>
      </c>
      <c r="AF25">
        <v>1</v>
      </c>
      <c r="AG25">
        <v>0</v>
      </c>
      <c r="AH25">
        <v>0.70588235294117652</v>
      </c>
      <c r="AI25">
        <v>0.5</v>
      </c>
      <c r="AJ25">
        <v>0.1875</v>
      </c>
      <c r="AK25">
        <v>6.25E-2</v>
      </c>
      <c r="AL25">
        <v>0</v>
      </c>
    </row>
    <row r="26" spans="1:38" x14ac:dyDescent="0.25">
      <c r="A26">
        <v>2025</v>
      </c>
      <c r="B26" t="s">
        <v>222</v>
      </c>
      <c r="C26" t="s">
        <v>39</v>
      </c>
      <c r="D26" t="str" cm="1">
        <f t="array" ref="D26">_xlfn.XLOOKUP(1,('26 WR'!A:A=E26)*('26 WR'!B:B=F26),'26 WR'!C:C)</f>
        <v>Daniel Jones</v>
      </c>
      <c r="E26" t="s">
        <v>67</v>
      </c>
      <c r="F26">
        <v>25</v>
      </c>
      <c r="G26">
        <v>168</v>
      </c>
      <c r="H26">
        <v>9.6999999999999993</v>
      </c>
      <c r="I26">
        <v>15</v>
      </c>
      <c r="J26">
        <v>12.4</v>
      </c>
      <c r="K26">
        <v>18.399999999999999</v>
      </c>
      <c r="L26">
        <v>28.8</v>
      </c>
      <c r="M26">
        <v>0</v>
      </c>
      <c r="N26">
        <v>14.7</v>
      </c>
      <c r="O26">
        <v>22.7</v>
      </c>
      <c r="P26">
        <v>4.4000000000000004</v>
      </c>
      <c r="Q26">
        <v>0</v>
      </c>
      <c r="R26">
        <v>0</v>
      </c>
      <c r="S26">
        <v>0</v>
      </c>
      <c r="T26">
        <v>10</v>
      </c>
      <c r="U26">
        <v>12.6</v>
      </c>
      <c r="V26">
        <v>23.4</v>
      </c>
      <c r="W26">
        <v>11.5</v>
      </c>
      <c r="X26">
        <v>15.8</v>
      </c>
      <c r="Y26">
        <v>199.40000000000003</v>
      </c>
      <c r="Z26">
        <v>15.5</v>
      </c>
      <c r="AA26">
        <v>11</v>
      </c>
      <c r="AB26">
        <v>1</v>
      </c>
      <c r="AC26">
        <v>11</v>
      </c>
      <c r="AD26">
        <v>6</v>
      </c>
      <c r="AE26">
        <v>3</v>
      </c>
      <c r="AF26">
        <v>1</v>
      </c>
      <c r="AG26">
        <v>0</v>
      </c>
      <c r="AH26">
        <v>0.6470588235294118</v>
      </c>
      <c r="AI26">
        <v>0.42857142857142855</v>
      </c>
      <c r="AJ26">
        <v>0.21428571428571427</v>
      </c>
      <c r="AK26">
        <v>7.1428571428571425E-2</v>
      </c>
      <c r="AL26">
        <v>0</v>
      </c>
    </row>
    <row r="27" spans="1:38" x14ac:dyDescent="0.25">
      <c r="A27">
        <v>2025</v>
      </c>
      <c r="B27" t="s">
        <v>232</v>
      </c>
      <c r="C27" t="s">
        <v>55</v>
      </c>
      <c r="D27" t="str" cm="1">
        <f t="array" ref="D27">_xlfn.XLOOKUP(1,('26 WR'!A:A=E27)*('26 WR'!B:B=F27),'26 WR'!C:C)</f>
        <v>Bryce Young</v>
      </c>
      <c r="E27" t="s">
        <v>67</v>
      </c>
      <c r="F27">
        <v>26</v>
      </c>
      <c r="G27">
        <v>178</v>
      </c>
      <c r="H27">
        <v>29.5</v>
      </c>
      <c r="I27">
        <v>22.8</v>
      </c>
      <c r="J27">
        <v>15.8</v>
      </c>
      <c r="K27">
        <v>12.4</v>
      </c>
      <c r="L27">
        <v>16.7</v>
      </c>
      <c r="M27">
        <v>23.5</v>
      </c>
      <c r="N27">
        <v>22.2</v>
      </c>
      <c r="O27">
        <v>23.2</v>
      </c>
      <c r="P27">
        <v>17.100000000000001</v>
      </c>
      <c r="Q27">
        <v>16.5</v>
      </c>
      <c r="R27">
        <v>0</v>
      </c>
      <c r="S27">
        <v>16.8</v>
      </c>
      <c r="T27">
        <v>16.100000000000001</v>
      </c>
      <c r="U27">
        <v>1.8</v>
      </c>
      <c r="V27">
        <v>0</v>
      </c>
      <c r="W27">
        <v>0</v>
      </c>
      <c r="X27">
        <v>0</v>
      </c>
      <c r="Y27">
        <v>234.4</v>
      </c>
      <c r="Z27">
        <v>18</v>
      </c>
      <c r="AA27">
        <v>17</v>
      </c>
      <c r="AB27">
        <v>1</v>
      </c>
      <c r="AC27">
        <v>12</v>
      </c>
      <c r="AD27">
        <v>11</v>
      </c>
      <c r="AE27">
        <v>5</v>
      </c>
      <c r="AF27">
        <v>1</v>
      </c>
      <c r="AG27">
        <v>0</v>
      </c>
      <c r="AH27">
        <v>0.70588235294117652</v>
      </c>
      <c r="AI27">
        <v>0.84615384615384615</v>
      </c>
      <c r="AJ27">
        <v>0.38461538461538464</v>
      </c>
      <c r="AK27">
        <v>7.6923076923076927E-2</v>
      </c>
      <c r="AL27">
        <v>0</v>
      </c>
    </row>
    <row r="28" spans="1:38" x14ac:dyDescent="0.25">
      <c r="A28">
        <v>2025</v>
      </c>
      <c r="B28" t="s">
        <v>234</v>
      </c>
      <c r="C28" t="s">
        <v>43</v>
      </c>
      <c r="D28" t="str" cm="1">
        <f t="array" ref="D28">_xlfn.XLOOKUP(1,('26 WR'!A:A=E28)*('26 WR'!B:B=F28),'26 WR'!C:C)</f>
        <v>Jacoby Brissett</v>
      </c>
      <c r="E28" t="s">
        <v>67</v>
      </c>
      <c r="F28">
        <v>27</v>
      </c>
      <c r="G28">
        <v>180</v>
      </c>
      <c r="H28">
        <v>0</v>
      </c>
      <c r="I28">
        <v>0.3</v>
      </c>
      <c r="J28">
        <v>0.3</v>
      </c>
      <c r="K28">
        <v>19.8</v>
      </c>
      <c r="L28">
        <v>17.600000000000001</v>
      </c>
      <c r="M28">
        <v>23.6</v>
      </c>
      <c r="N28">
        <v>29.4</v>
      </c>
      <c r="O28">
        <v>19.399999999999999</v>
      </c>
      <c r="P28">
        <v>27.2</v>
      </c>
      <c r="Q28">
        <v>26.3</v>
      </c>
      <c r="R28">
        <v>0</v>
      </c>
      <c r="S28">
        <v>0</v>
      </c>
      <c r="T28">
        <v>13.6</v>
      </c>
      <c r="U28">
        <v>0</v>
      </c>
      <c r="V28">
        <v>23.1</v>
      </c>
      <c r="W28">
        <v>1</v>
      </c>
      <c r="X28">
        <v>25.1</v>
      </c>
      <c r="Y28">
        <v>226.7</v>
      </c>
      <c r="Z28">
        <v>17.600000000000001</v>
      </c>
      <c r="AA28">
        <v>14</v>
      </c>
      <c r="AB28">
        <v>1</v>
      </c>
      <c r="AC28">
        <v>11</v>
      </c>
      <c r="AD28">
        <v>10</v>
      </c>
      <c r="AE28">
        <v>7</v>
      </c>
      <c r="AF28">
        <v>4</v>
      </c>
      <c r="AG28">
        <v>0</v>
      </c>
      <c r="AH28">
        <v>0.6470588235294118</v>
      </c>
      <c r="AI28">
        <v>0.7142857142857143</v>
      </c>
      <c r="AJ28">
        <v>0.5</v>
      </c>
      <c r="AK28">
        <v>0.2857142857142857</v>
      </c>
      <c r="AL28">
        <v>0</v>
      </c>
    </row>
    <row r="29" spans="1:38" x14ac:dyDescent="0.25">
      <c r="A29">
        <v>2025</v>
      </c>
      <c r="B29" t="s">
        <v>235</v>
      </c>
      <c r="C29" t="s">
        <v>61</v>
      </c>
      <c r="D29" t="str" cm="1">
        <f t="array" ref="D29">_xlfn.XLOOKUP(1,('26 WR'!A:A=E29)*('26 WR'!B:B=F29),'26 WR'!C:C)</f>
        <v>Geno Smith</v>
      </c>
      <c r="E29" t="s">
        <v>67</v>
      </c>
      <c r="F29">
        <v>28</v>
      </c>
      <c r="G29">
        <v>181</v>
      </c>
      <c r="H29">
        <v>15.9</v>
      </c>
      <c r="I29">
        <v>20.9</v>
      </c>
      <c r="J29">
        <v>12.1</v>
      </c>
      <c r="K29">
        <v>26.3</v>
      </c>
      <c r="L29">
        <v>0</v>
      </c>
      <c r="M29">
        <v>16</v>
      </c>
      <c r="N29">
        <v>13.4</v>
      </c>
      <c r="O29">
        <v>28.3</v>
      </c>
      <c r="P29">
        <v>10</v>
      </c>
      <c r="Q29">
        <v>7.8</v>
      </c>
      <c r="R29">
        <v>17.7</v>
      </c>
      <c r="S29">
        <v>7.1</v>
      </c>
      <c r="T29">
        <v>25.8</v>
      </c>
      <c r="U29">
        <v>20.3</v>
      </c>
      <c r="V29">
        <v>15.9</v>
      </c>
      <c r="W29">
        <v>3.8</v>
      </c>
      <c r="X29">
        <v>0</v>
      </c>
      <c r="Y29">
        <v>241.30000000000004</v>
      </c>
      <c r="Z29">
        <v>16.100000000000001</v>
      </c>
      <c r="AA29">
        <v>15</v>
      </c>
      <c r="AB29">
        <v>1</v>
      </c>
      <c r="AC29">
        <v>11</v>
      </c>
      <c r="AD29">
        <v>9</v>
      </c>
      <c r="AE29">
        <v>5</v>
      </c>
      <c r="AF29">
        <v>3</v>
      </c>
      <c r="AG29">
        <v>0</v>
      </c>
      <c r="AH29">
        <v>0.6470588235294118</v>
      </c>
      <c r="AI29">
        <v>0.6</v>
      </c>
      <c r="AJ29">
        <v>0.33333333333333331</v>
      </c>
      <c r="AK29">
        <v>0.2</v>
      </c>
      <c r="AL29">
        <v>0</v>
      </c>
    </row>
    <row r="30" spans="1:38" x14ac:dyDescent="0.25">
      <c r="A30">
        <v>2025</v>
      </c>
      <c r="B30" t="s">
        <v>249</v>
      </c>
      <c r="C30" t="s">
        <v>43</v>
      </c>
      <c r="D30" t="str" cm="1">
        <f t="array" ref="D30">_xlfn.XLOOKUP(1,('26 WR'!A:A=E30)*('26 WR'!B:B=F30),'26 WR'!C:C)</f>
        <v>Aaron Rodgers</v>
      </c>
      <c r="E30" t="s">
        <v>67</v>
      </c>
      <c r="F30">
        <v>29</v>
      </c>
      <c r="G30">
        <v>195</v>
      </c>
      <c r="H30">
        <v>11.1</v>
      </c>
      <c r="I30">
        <v>31.3</v>
      </c>
      <c r="J30">
        <v>7.1</v>
      </c>
      <c r="K30">
        <v>0.3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52.8</v>
      </c>
      <c r="Z30">
        <v>8.8000000000000007</v>
      </c>
      <c r="AA30">
        <v>44</v>
      </c>
      <c r="AB30">
        <v>1</v>
      </c>
      <c r="AC30">
        <v>2</v>
      </c>
      <c r="AD30">
        <v>1</v>
      </c>
      <c r="AE30">
        <v>1</v>
      </c>
      <c r="AF30">
        <v>1</v>
      </c>
      <c r="AG30">
        <v>1</v>
      </c>
      <c r="AH30">
        <v>0.11764705882352941</v>
      </c>
      <c r="AI30">
        <v>0.16666666666666666</v>
      </c>
      <c r="AJ30">
        <v>0.16666666666666666</v>
      </c>
      <c r="AK30">
        <v>0.16666666666666666</v>
      </c>
      <c r="AL30">
        <v>0.16666666666666666</v>
      </c>
    </row>
    <row r="31" spans="1:38" x14ac:dyDescent="0.25">
      <c r="A31">
        <v>2025</v>
      </c>
      <c r="B31" t="s">
        <v>251</v>
      </c>
      <c r="C31" t="s">
        <v>21</v>
      </c>
      <c r="D31" t="str" cm="1">
        <f t="array" ref="D31">_xlfn.XLOOKUP(1,('26 WR'!A:A=E31)*('26 WR'!B:B=F31),'26 WR'!C:C)</f>
        <v>Fernando Mendoza</v>
      </c>
      <c r="E31" t="s">
        <v>67</v>
      </c>
      <c r="F31">
        <v>30</v>
      </c>
      <c r="G31">
        <v>197</v>
      </c>
      <c r="H31">
        <v>14.2</v>
      </c>
      <c r="I31">
        <v>9.8000000000000007</v>
      </c>
      <c r="J31">
        <v>4.7</v>
      </c>
      <c r="K31">
        <v>3.3</v>
      </c>
      <c r="L31">
        <v>0</v>
      </c>
      <c r="M31">
        <v>18.8</v>
      </c>
      <c r="N31">
        <v>26</v>
      </c>
      <c r="O31">
        <v>24.3</v>
      </c>
      <c r="P31">
        <v>32.700000000000003</v>
      </c>
      <c r="Q31">
        <v>0</v>
      </c>
      <c r="R31">
        <v>10.9</v>
      </c>
      <c r="S31">
        <v>10.6</v>
      </c>
      <c r="T31">
        <v>0</v>
      </c>
      <c r="U31">
        <v>0</v>
      </c>
      <c r="V31">
        <v>0</v>
      </c>
      <c r="W31">
        <v>0.2</v>
      </c>
      <c r="X31">
        <v>1.2</v>
      </c>
      <c r="Y31">
        <v>156.69999999999999</v>
      </c>
      <c r="Z31">
        <v>12.1</v>
      </c>
      <c r="AA31">
        <v>19</v>
      </c>
      <c r="AB31">
        <v>1</v>
      </c>
      <c r="AC31">
        <v>7</v>
      </c>
      <c r="AD31">
        <v>4</v>
      </c>
      <c r="AE31">
        <v>3</v>
      </c>
      <c r="AF31">
        <v>2</v>
      </c>
      <c r="AG31">
        <v>1</v>
      </c>
      <c r="AH31">
        <v>0.41176470588235292</v>
      </c>
      <c r="AI31">
        <v>0.30769230769230771</v>
      </c>
      <c r="AJ31">
        <v>0.23076923076923078</v>
      </c>
      <c r="AK31">
        <v>0.15384615384615385</v>
      </c>
      <c r="AL31">
        <v>7.6923076923076927E-2</v>
      </c>
    </row>
    <row r="32" spans="1:38" x14ac:dyDescent="0.25">
      <c r="A32">
        <v>2025</v>
      </c>
      <c r="B32" t="s">
        <v>261</v>
      </c>
      <c r="C32" t="s">
        <v>96</v>
      </c>
      <c r="D32" t="str" cm="1">
        <f t="array" ref="D32">_xlfn.XLOOKUP(1,('26 WR'!A:A=E32)*('26 WR'!B:B=F32),'26 WR'!C:C)</f>
        <v>Michael Penix Jr.</v>
      </c>
      <c r="E32" t="s">
        <v>67</v>
      </c>
      <c r="F32">
        <v>31</v>
      </c>
      <c r="G32">
        <v>207</v>
      </c>
      <c r="H32">
        <v>11.5</v>
      </c>
      <c r="I32">
        <v>21.7</v>
      </c>
      <c r="J32">
        <v>12.7</v>
      </c>
      <c r="K32">
        <v>13.9</v>
      </c>
      <c r="L32">
        <v>15.1</v>
      </c>
      <c r="M32">
        <v>11.1</v>
      </c>
      <c r="N32">
        <v>13.5</v>
      </c>
      <c r="O32">
        <v>3.6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103.1</v>
      </c>
      <c r="Z32">
        <v>11.5</v>
      </c>
      <c r="AA32">
        <v>36</v>
      </c>
      <c r="AB32">
        <v>1</v>
      </c>
      <c r="AC32">
        <v>7</v>
      </c>
      <c r="AD32">
        <v>2</v>
      </c>
      <c r="AE32">
        <v>1</v>
      </c>
      <c r="AF32">
        <v>0</v>
      </c>
      <c r="AG32">
        <v>0</v>
      </c>
      <c r="AH32">
        <v>0.41176470588235292</v>
      </c>
      <c r="AI32">
        <v>0.22222222222222221</v>
      </c>
      <c r="AJ32">
        <v>0.1111111111111111</v>
      </c>
      <c r="AK32">
        <v>0</v>
      </c>
      <c r="AL32">
        <v>0</v>
      </c>
    </row>
    <row r="33" spans="1:38" x14ac:dyDescent="0.25">
      <c r="A33">
        <v>2025</v>
      </c>
      <c r="B33" t="s">
        <v>278</v>
      </c>
      <c r="C33" t="s">
        <v>96</v>
      </c>
      <c r="D33" t="str" cm="1">
        <f t="array" ref="D33">_xlfn.XLOOKUP(1,('26 WR'!A:A=E33)*('26 WR'!B:B=F33),'26 WR'!C:C)</f>
        <v>Tua Tagovailoa</v>
      </c>
      <c r="E33" t="s">
        <v>67</v>
      </c>
      <c r="F33">
        <v>32</v>
      </c>
      <c r="G33">
        <v>224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5.3</v>
      </c>
      <c r="P33">
        <v>10.199999999999999</v>
      </c>
      <c r="Q33">
        <v>19</v>
      </c>
      <c r="R33">
        <v>0</v>
      </c>
      <c r="S33">
        <v>8.9</v>
      </c>
      <c r="T33">
        <v>18.399999999999999</v>
      </c>
      <c r="U33">
        <v>22.3</v>
      </c>
      <c r="V33">
        <v>18.100000000000001</v>
      </c>
      <c r="W33">
        <v>17.100000000000001</v>
      </c>
      <c r="X33">
        <v>21.9</v>
      </c>
      <c r="Y33">
        <v>141.19999999999999</v>
      </c>
      <c r="Z33">
        <v>14.9</v>
      </c>
      <c r="AA33">
        <v>18</v>
      </c>
      <c r="AB33">
        <v>1</v>
      </c>
      <c r="AC33">
        <v>8</v>
      </c>
      <c r="AD33">
        <v>7</v>
      </c>
      <c r="AE33">
        <v>3</v>
      </c>
      <c r="AF33">
        <v>0</v>
      </c>
      <c r="AG33">
        <v>0</v>
      </c>
      <c r="AH33">
        <v>0.47058823529411764</v>
      </c>
      <c r="AI33">
        <v>0.63636363636363635</v>
      </c>
      <c r="AJ33">
        <v>0.27272727272727271</v>
      </c>
      <c r="AK33">
        <v>0</v>
      </c>
      <c r="AL33">
        <v>0</v>
      </c>
    </row>
    <row r="34" spans="1:38" x14ac:dyDescent="0.25">
      <c r="A34">
        <v>2025</v>
      </c>
      <c r="B34" t="s">
        <v>287</v>
      </c>
      <c r="C34" t="s">
        <v>51</v>
      </c>
      <c r="D34" t="str" cm="1">
        <f t="array" ref="D34">_xlfn.XLOOKUP(1,('26 WR'!A:A=E34)*('26 WR'!B:B=F34),'26 WR'!C:C)</f>
        <v>Shedeur Sanders</v>
      </c>
      <c r="E34" t="s">
        <v>67</v>
      </c>
      <c r="F34">
        <v>33</v>
      </c>
      <c r="G34">
        <v>233</v>
      </c>
      <c r="H34">
        <v>11.3</v>
      </c>
      <c r="I34">
        <v>21.2</v>
      </c>
      <c r="J34">
        <v>8.8000000000000007</v>
      </c>
      <c r="K34">
        <v>11.7</v>
      </c>
      <c r="L34">
        <v>27.2</v>
      </c>
      <c r="M34">
        <v>19.2</v>
      </c>
      <c r="N34">
        <v>17.600000000000001</v>
      </c>
      <c r="O34">
        <v>0</v>
      </c>
      <c r="P34">
        <v>22.2</v>
      </c>
      <c r="Q34">
        <v>10.8</v>
      </c>
      <c r="R34">
        <v>16</v>
      </c>
      <c r="S34">
        <v>20.100000000000001</v>
      </c>
      <c r="T34">
        <v>21.7</v>
      </c>
      <c r="U34">
        <v>19.399999999999999</v>
      </c>
      <c r="V34">
        <v>44.3</v>
      </c>
      <c r="W34">
        <v>31.2</v>
      </c>
      <c r="X34">
        <v>24.1</v>
      </c>
      <c r="Y34">
        <v>326.8</v>
      </c>
      <c r="Z34">
        <v>20.6</v>
      </c>
      <c r="AA34">
        <v>4</v>
      </c>
      <c r="AB34">
        <v>1</v>
      </c>
      <c r="AC34">
        <v>16</v>
      </c>
      <c r="AD34">
        <v>13</v>
      </c>
      <c r="AE34">
        <v>9</v>
      </c>
      <c r="AF34">
        <v>3</v>
      </c>
      <c r="AG34">
        <v>2</v>
      </c>
      <c r="AH34">
        <v>0.94117647058823528</v>
      </c>
      <c r="AI34">
        <v>0.76470588235294112</v>
      </c>
      <c r="AJ34">
        <v>0.52941176470588236</v>
      </c>
      <c r="AK34">
        <v>0.17647058823529413</v>
      </c>
      <c r="AL34">
        <v>0.11764705882352941</v>
      </c>
    </row>
    <row r="35" spans="1:38" x14ac:dyDescent="0.25">
      <c r="A35">
        <v>2025</v>
      </c>
      <c r="B35" t="s">
        <v>304</v>
      </c>
      <c r="C35" t="s">
        <v>24</v>
      </c>
      <c r="D35" t="str" cm="1">
        <f t="array" ref="D35">_xlfn.XLOOKUP(1,('26 WR'!A:A=E35)*('26 WR'!B:B=F35),'26 WR'!C:C)</f>
        <v>Kirk Cousins</v>
      </c>
      <c r="E35" t="s">
        <v>67</v>
      </c>
      <c r="F35">
        <v>34</v>
      </c>
      <c r="G35">
        <v>250</v>
      </c>
      <c r="H35">
        <v>24</v>
      </c>
      <c r="I35">
        <v>5.3</v>
      </c>
      <c r="J35">
        <v>5.8</v>
      </c>
      <c r="K35">
        <v>19.7</v>
      </c>
      <c r="L35">
        <v>0</v>
      </c>
      <c r="M35">
        <v>14.6</v>
      </c>
      <c r="N35">
        <v>12.2</v>
      </c>
      <c r="O35">
        <v>0</v>
      </c>
      <c r="P35">
        <v>22.7</v>
      </c>
      <c r="Q35">
        <v>11</v>
      </c>
      <c r="R35">
        <v>7.9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123.2</v>
      </c>
      <c r="Z35">
        <v>13.7</v>
      </c>
      <c r="AA35">
        <v>33</v>
      </c>
      <c r="AB35">
        <v>1</v>
      </c>
      <c r="AC35">
        <v>6</v>
      </c>
      <c r="AD35">
        <v>3</v>
      </c>
      <c r="AE35">
        <v>2</v>
      </c>
      <c r="AF35">
        <v>0</v>
      </c>
      <c r="AG35">
        <v>0</v>
      </c>
      <c r="AH35">
        <v>0.35294117647058826</v>
      </c>
      <c r="AI35">
        <v>0.33333333333333331</v>
      </c>
      <c r="AJ35">
        <v>0.22222222222222221</v>
      </c>
      <c r="AK35">
        <v>0</v>
      </c>
      <c r="AL35">
        <v>0</v>
      </c>
    </row>
    <row r="36" spans="1:38" x14ac:dyDescent="0.25">
      <c r="A36">
        <v>2025</v>
      </c>
      <c r="B36" t="s">
        <v>309</v>
      </c>
      <c r="C36" t="s">
        <v>61</v>
      </c>
      <c r="D36" t="str" cm="1">
        <f t="array" ref="D36">_xlfn.XLOOKUP(1,('26 WR'!A:A=E36)*('26 WR'!B:B=F36),'26 WR'!C:C)</f>
        <v>Deshaun Watson</v>
      </c>
      <c r="E36" t="s">
        <v>67</v>
      </c>
      <c r="F36">
        <v>35</v>
      </c>
      <c r="G36">
        <v>255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5.8</v>
      </c>
      <c r="S36">
        <v>0.6</v>
      </c>
      <c r="T36">
        <v>0</v>
      </c>
      <c r="U36">
        <v>0</v>
      </c>
      <c r="V36">
        <v>0</v>
      </c>
      <c r="W36">
        <v>13.2</v>
      </c>
      <c r="X36">
        <v>31.5</v>
      </c>
      <c r="Y36">
        <v>51.099999999999994</v>
      </c>
      <c r="Z36">
        <v>12.8</v>
      </c>
      <c r="AA36">
        <v>45</v>
      </c>
      <c r="AB36">
        <v>1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0.11764705882352941</v>
      </c>
      <c r="AI36">
        <v>0.25</v>
      </c>
      <c r="AJ36">
        <v>0.25</v>
      </c>
      <c r="AK36">
        <v>0.25</v>
      </c>
      <c r="AL36">
        <v>0.25</v>
      </c>
    </row>
    <row r="37" spans="1:38" x14ac:dyDescent="0.25">
      <c r="A37">
        <v>2025</v>
      </c>
      <c r="B37" t="s">
        <v>312</v>
      </c>
      <c r="C37" t="s">
        <v>132</v>
      </c>
      <c r="D37" t="str" cm="1">
        <f t="array" ref="D37">_xlfn.XLOOKUP(1,('26 WR'!A:A=E37)*('26 WR'!B:B=F37),'26 WR'!C:C)</f>
        <v>J.J. McCarthy</v>
      </c>
      <c r="E37" t="s">
        <v>67</v>
      </c>
      <c r="F37">
        <v>36</v>
      </c>
      <c r="G37">
        <v>258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2.5</v>
      </c>
      <c r="S37">
        <v>11.3</v>
      </c>
      <c r="T37">
        <v>10.6</v>
      </c>
      <c r="U37">
        <v>34.5</v>
      </c>
      <c r="V37">
        <v>6.5</v>
      </c>
      <c r="W37">
        <v>13.2</v>
      </c>
      <c r="X37">
        <v>11.4</v>
      </c>
      <c r="Y37">
        <v>90.000000000000014</v>
      </c>
      <c r="Z37">
        <v>11.9</v>
      </c>
      <c r="AA37">
        <v>37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0.29411764705882354</v>
      </c>
      <c r="AI37">
        <v>0.125</v>
      </c>
      <c r="AJ37">
        <v>0.125</v>
      </c>
      <c r="AK37">
        <v>0.125</v>
      </c>
      <c r="AL37">
        <v>0.125</v>
      </c>
    </row>
    <row r="38" spans="1:38" x14ac:dyDescent="0.25">
      <c r="A38">
        <v>2025</v>
      </c>
      <c r="B38" t="s">
        <v>333</v>
      </c>
      <c r="C38" t="s">
        <v>24</v>
      </c>
      <c r="D38" t="str" cm="1">
        <f t="array" ref="D38">_xlfn.XLOOKUP(1,('26 WR'!A:A=E38)*('26 WR'!B:B=F38),'26 WR'!C:C)</f>
        <v>Mac Jones</v>
      </c>
      <c r="E38" t="s">
        <v>67</v>
      </c>
      <c r="F38">
        <v>37</v>
      </c>
      <c r="G38">
        <v>279</v>
      </c>
      <c r="H38">
        <v>0</v>
      </c>
      <c r="I38">
        <v>0</v>
      </c>
      <c r="J38">
        <v>1.2</v>
      </c>
      <c r="K38">
        <v>0</v>
      </c>
      <c r="L38">
        <v>0</v>
      </c>
      <c r="M38">
        <v>0</v>
      </c>
      <c r="N38">
        <v>0</v>
      </c>
      <c r="O38">
        <v>7.1</v>
      </c>
      <c r="P38">
        <v>0</v>
      </c>
      <c r="Q38">
        <v>0</v>
      </c>
      <c r="R38">
        <v>2.1</v>
      </c>
      <c r="S38">
        <v>15.5</v>
      </c>
      <c r="T38">
        <v>13.4</v>
      </c>
      <c r="U38">
        <v>4.5</v>
      </c>
      <c r="V38">
        <v>26.9</v>
      </c>
      <c r="W38">
        <v>18.600000000000001</v>
      </c>
      <c r="X38">
        <v>9.1</v>
      </c>
      <c r="Y38">
        <v>98.399999999999977</v>
      </c>
      <c r="Z38">
        <v>10.9</v>
      </c>
      <c r="AA38">
        <v>35</v>
      </c>
      <c r="AB38">
        <v>1</v>
      </c>
      <c r="AC38">
        <v>5</v>
      </c>
      <c r="AD38">
        <v>3</v>
      </c>
      <c r="AE38">
        <v>1</v>
      </c>
      <c r="AF38">
        <v>1</v>
      </c>
      <c r="AG38">
        <v>0</v>
      </c>
      <c r="AH38">
        <v>0.29411764705882354</v>
      </c>
      <c r="AI38">
        <v>0.3</v>
      </c>
      <c r="AJ38">
        <v>0.1</v>
      </c>
      <c r="AK38">
        <v>0.1</v>
      </c>
      <c r="AL38">
        <v>0</v>
      </c>
    </row>
    <row r="39" spans="1:38" x14ac:dyDescent="0.25">
      <c r="A39">
        <v>2025</v>
      </c>
      <c r="B39" t="s">
        <v>338</v>
      </c>
      <c r="C39" t="s">
        <v>132</v>
      </c>
      <c r="D39" t="str" cm="1">
        <f t="array" ref="D39">_xlfn.XLOOKUP(1,('26 WR'!A:A=E39)*('26 WR'!B:B=F39),'26 WR'!C:C)</f>
        <v>Carson Beck</v>
      </c>
      <c r="E39" t="s">
        <v>67</v>
      </c>
      <c r="F39">
        <v>38</v>
      </c>
      <c r="G39">
        <v>284</v>
      </c>
      <c r="H39">
        <v>0</v>
      </c>
      <c r="I39">
        <v>4.8</v>
      </c>
      <c r="J39">
        <v>0</v>
      </c>
      <c r="K39">
        <v>0</v>
      </c>
      <c r="L39">
        <v>16.100000000000001</v>
      </c>
      <c r="M39">
        <v>8.8000000000000007</v>
      </c>
      <c r="N39">
        <v>5.8</v>
      </c>
      <c r="O39">
        <v>13.5</v>
      </c>
      <c r="P39">
        <v>0</v>
      </c>
      <c r="Q39">
        <v>20.100000000000001</v>
      </c>
      <c r="R39">
        <v>2.9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72</v>
      </c>
      <c r="Z39">
        <v>7.2</v>
      </c>
      <c r="AA39">
        <v>40</v>
      </c>
      <c r="AB39">
        <v>1</v>
      </c>
      <c r="AC39">
        <v>3</v>
      </c>
      <c r="AD39">
        <v>2</v>
      </c>
      <c r="AE39">
        <v>1</v>
      </c>
      <c r="AF39">
        <v>0</v>
      </c>
      <c r="AG39">
        <v>0</v>
      </c>
      <c r="AH39">
        <v>0.17647058823529413</v>
      </c>
      <c r="AI39">
        <v>0.2</v>
      </c>
      <c r="AJ39">
        <v>0.1</v>
      </c>
      <c r="AK39">
        <v>0</v>
      </c>
      <c r="AL39">
        <v>0</v>
      </c>
    </row>
    <row r="40" spans="1:38" x14ac:dyDescent="0.25">
      <c r="A40">
        <v>2025</v>
      </c>
      <c r="B40" t="s">
        <v>351</v>
      </c>
      <c r="C40" t="s">
        <v>26</v>
      </c>
      <c r="D40" t="str" cm="1">
        <f t="array" ref="D40">_xlfn.XLOOKUP(1,('26 WR'!A:A=E40)*('26 WR'!B:B=F40),'26 WR'!C:C)</f>
        <v>Ty Simpson</v>
      </c>
      <c r="E40" t="s">
        <v>67</v>
      </c>
      <c r="F40">
        <v>39</v>
      </c>
      <c r="G40">
        <v>297</v>
      </c>
      <c r="H40">
        <v>0</v>
      </c>
      <c r="I40">
        <v>21.8</v>
      </c>
      <c r="J40">
        <v>14.3</v>
      </c>
      <c r="K40">
        <v>0</v>
      </c>
      <c r="L40">
        <v>22.2</v>
      </c>
      <c r="M40">
        <v>13.2</v>
      </c>
      <c r="N40">
        <v>6.2</v>
      </c>
      <c r="O40">
        <v>19</v>
      </c>
      <c r="P40">
        <v>15.8</v>
      </c>
      <c r="Q40">
        <v>24.1</v>
      </c>
      <c r="R40">
        <v>0.3</v>
      </c>
      <c r="S40">
        <v>0</v>
      </c>
      <c r="T40">
        <v>0.2</v>
      </c>
      <c r="U40">
        <v>0</v>
      </c>
      <c r="V40">
        <v>0</v>
      </c>
      <c r="W40">
        <v>0.3</v>
      </c>
      <c r="X40">
        <v>0</v>
      </c>
      <c r="Y40">
        <v>137.4</v>
      </c>
      <c r="Z40">
        <v>12.4</v>
      </c>
      <c r="AA40">
        <v>20</v>
      </c>
      <c r="AB40">
        <v>1</v>
      </c>
      <c r="AC40">
        <v>7</v>
      </c>
      <c r="AD40">
        <v>5</v>
      </c>
      <c r="AE40">
        <v>3</v>
      </c>
      <c r="AF40">
        <v>0</v>
      </c>
      <c r="AG40">
        <v>0</v>
      </c>
      <c r="AH40">
        <v>0.41176470588235292</v>
      </c>
      <c r="AI40">
        <v>0.45454545454545453</v>
      </c>
      <c r="AJ40">
        <v>0.27272727272727271</v>
      </c>
      <c r="AK40">
        <v>0</v>
      </c>
      <c r="AL40">
        <v>0</v>
      </c>
    </row>
    <row r="41" spans="1:38" x14ac:dyDescent="0.25">
      <c r="A41">
        <v>2025</v>
      </c>
      <c r="B41" t="s">
        <v>352</v>
      </c>
      <c r="C41" t="s">
        <v>21</v>
      </c>
      <c r="D41" t="str" cm="1">
        <f t="array" ref="D41">_xlfn.XLOOKUP(1,('26 WR'!A:A=E41)*('26 WR'!B:B=F41),'26 WR'!C:C)</f>
        <v>Justin Fields</v>
      </c>
      <c r="E41" t="s">
        <v>67</v>
      </c>
      <c r="F41">
        <v>40</v>
      </c>
      <c r="G41">
        <v>298</v>
      </c>
      <c r="H41">
        <v>0</v>
      </c>
      <c r="I41">
        <v>20.7</v>
      </c>
      <c r="J41">
        <v>7.9</v>
      </c>
      <c r="K41">
        <v>5.4</v>
      </c>
      <c r="L41">
        <v>22.1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56.7</v>
      </c>
      <c r="Z41">
        <v>11.3</v>
      </c>
      <c r="AA41">
        <v>43</v>
      </c>
      <c r="AB41">
        <v>1</v>
      </c>
      <c r="AC41">
        <v>2</v>
      </c>
      <c r="AD41">
        <v>2</v>
      </c>
      <c r="AE41">
        <v>2</v>
      </c>
      <c r="AF41">
        <v>0</v>
      </c>
      <c r="AG41">
        <v>0</v>
      </c>
      <c r="AH41">
        <v>0.11764705882352941</v>
      </c>
      <c r="AI41">
        <v>0.4</v>
      </c>
      <c r="AJ41">
        <v>0.4</v>
      </c>
      <c r="AK41">
        <v>0</v>
      </c>
      <c r="AL41">
        <v>0</v>
      </c>
    </row>
    <row r="42" spans="1:38" x14ac:dyDescent="0.25">
      <c r="A42">
        <v>2025</v>
      </c>
      <c r="B42" t="s">
        <v>22</v>
      </c>
      <c r="C42" t="s">
        <v>24</v>
      </c>
      <c r="D42" t="str" cm="1">
        <f t="array" ref="D42">_xlfn.XLOOKUP(1,('26 WR'!A:A=E42)*('26 WR'!B:B=F42),'26 WR'!C:C)</f>
        <v>Bijan Robinson</v>
      </c>
      <c r="E42" t="s">
        <v>23</v>
      </c>
      <c r="F42">
        <v>1</v>
      </c>
      <c r="G42">
        <v>2</v>
      </c>
      <c r="H42">
        <v>24.4</v>
      </c>
      <c r="I42">
        <v>19.8</v>
      </c>
      <c r="J42">
        <v>16.100000000000001</v>
      </c>
      <c r="K42">
        <v>28.1</v>
      </c>
      <c r="L42">
        <v>0</v>
      </c>
      <c r="M42">
        <v>35.799999999999997</v>
      </c>
      <c r="N42">
        <v>21.2</v>
      </c>
      <c r="O42">
        <v>5.8</v>
      </c>
      <c r="P42">
        <v>17.600000000000001</v>
      </c>
      <c r="Q42">
        <v>10.8</v>
      </c>
      <c r="R42">
        <v>30.3</v>
      </c>
      <c r="S42">
        <v>14.7</v>
      </c>
      <c r="T42">
        <v>30.3</v>
      </c>
      <c r="U42">
        <v>9.4</v>
      </c>
      <c r="V42">
        <v>29.5</v>
      </c>
      <c r="W42">
        <v>29.8</v>
      </c>
      <c r="X42">
        <v>39.9</v>
      </c>
      <c r="Y42">
        <v>363.5</v>
      </c>
      <c r="Z42">
        <v>21.8</v>
      </c>
      <c r="AA42">
        <v>1</v>
      </c>
      <c r="AB42">
        <v>1</v>
      </c>
      <c r="AC42">
        <v>14</v>
      </c>
      <c r="AD42">
        <v>12</v>
      </c>
      <c r="AE42">
        <v>9</v>
      </c>
      <c r="AF42">
        <v>7</v>
      </c>
      <c r="AG42">
        <v>4</v>
      </c>
      <c r="AH42">
        <v>0.82352941176470584</v>
      </c>
      <c r="AI42">
        <v>0.70588235294117652</v>
      </c>
      <c r="AJ42">
        <v>0.52941176470588236</v>
      </c>
      <c r="AK42">
        <v>0.41176470588235292</v>
      </c>
      <c r="AL42">
        <v>0.23529411764705882</v>
      </c>
    </row>
    <row r="43" spans="1:38" x14ac:dyDescent="0.25">
      <c r="A43">
        <v>2025</v>
      </c>
      <c r="B43" t="s">
        <v>25</v>
      </c>
      <c r="C43" t="s">
        <v>26</v>
      </c>
      <c r="D43" t="str" cm="1">
        <f t="array" ref="D43">_xlfn.XLOOKUP(1,('26 WR'!A:A=E43)*('26 WR'!B:B=F43),'26 WR'!C:C)</f>
        <v>Jahmyr Gibbs</v>
      </c>
      <c r="E43" t="s">
        <v>23</v>
      </c>
      <c r="F43">
        <v>2</v>
      </c>
      <c r="G43">
        <v>3</v>
      </c>
      <c r="H43">
        <v>23.2</v>
      </c>
      <c r="I43">
        <v>22.7</v>
      </c>
      <c r="J43">
        <v>24</v>
      </c>
      <c r="K43">
        <v>26.1</v>
      </c>
      <c r="L43">
        <v>27.9</v>
      </c>
      <c r="M43">
        <v>24.1</v>
      </c>
      <c r="N43">
        <v>39.1</v>
      </c>
      <c r="O43">
        <v>9.8000000000000007</v>
      </c>
      <c r="P43">
        <v>34.299999999999997</v>
      </c>
      <c r="Q43">
        <v>17.600000000000001</v>
      </c>
      <c r="R43">
        <v>35.1</v>
      </c>
      <c r="S43">
        <v>27.2</v>
      </c>
      <c r="T43">
        <v>17.399999999999999</v>
      </c>
      <c r="U43">
        <v>0</v>
      </c>
      <c r="V43">
        <v>15.7</v>
      </c>
      <c r="W43">
        <v>32.6</v>
      </c>
      <c r="X43">
        <v>28.1</v>
      </c>
      <c r="Y43">
        <v>404.9</v>
      </c>
      <c r="Z43">
        <v>24.5</v>
      </c>
      <c r="AA43">
        <v>1</v>
      </c>
      <c r="AB43">
        <v>1</v>
      </c>
      <c r="AC43">
        <v>16</v>
      </c>
      <c r="AD43">
        <v>15</v>
      </c>
      <c r="AE43">
        <v>12</v>
      </c>
      <c r="AF43">
        <v>8</v>
      </c>
      <c r="AG43">
        <v>4</v>
      </c>
      <c r="AH43">
        <v>0.94117647058823528</v>
      </c>
      <c r="AI43">
        <v>0.88235294117647056</v>
      </c>
      <c r="AJ43">
        <v>0.70588235294117652</v>
      </c>
      <c r="AK43">
        <v>0.47058823529411764</v>
      </c>
      <c r="AL43">
        <v>0.23529411764705882</v>
      </c>
    </row>
    <row r="44" spans="1:38" x14ac:dyDescent="0.25">
      <c r="A44">
        <v>2025</v>
      </c>
      <c r="B44" t="s">
        <v>32</v>
      </c>
      <c r="C44" t="s">
        <v>33</v>
      </c>
      <c r="D44" t="str" cm="1">
        <f t="array" ref="D44">_xlfn.XLOOKUP(1,('26 WR'!A:A=E44)*('26 WR'!B:B=F44),'26 WR'!C:C)</f>
        <v>Christian McCaffrey</v>
      </c>
      <c r="E44" t="s">
        <v>23</v>
      </c>
      <c r="F44">
        <v>3</v>
      </c>
      <c r="G44">
        <v>6</v>
      </c>
      <c r="H44">
        <v>18.399999999999999</v>
      </c>
      <c r="I44">
        <v>17.399999999999999</v>
      </c>
      <c r="J44">
        <v>9.5</v>
      </c>
      <c r="K44">
        <v>17.399999999999999</v>
      </c>
      <c r="L44">
        <v>17.8</v>
      </c>
      <c r="M44">
        <v>8.6999999999999993</v>
      </c>
      <c r="N44">
        <v>5.2</v>
      </c>
      <c r="O44">
        <v>33.4</v>
      </c>
      <c r="P44">
        <v>0</v>
      </c>
      <c r="Q44">
        <v>13.1</v>
      </c>
      <c r="R44">
        <v>10</v>
      </c>
      <c r="S44">
        <v>12.4</v>
      </c>
      <c r="T44">
        <v>5.6</v>
      </c>
      <c r="U44">
        <v>18.2</v>
      </c>
      <c r="V44">
        <v>17.2</v>
      </c>
      <c r="W44">
        <v>21.2</v>
      </c>
      <c r="X44">
        <v>6.8</v>
      </c>
      <c r="Y44">
        <v>232.29999999999998</v>
      </c>
      <c r="Z44">
        <v>14.5</v>
      </c>
      <c r="AA44">
        <v>1</v>
      </c>
      <c r="AB44">
        <v>1</v>
      </c>
      <c r="AC44">
        <v>10</v>
      </c>
      <c r="AD44">
        <v>8</v>
      </c>
      <c r="AE44">
        <v>2</v>
      </c>
      <c r="AF44">
        <v>1</v>
      </c>
      <c r="AG44">
        <v>1</v>
      </c>
      <c r="AH44">
        <v>0.58823529411764708</v>
      </c>
      <c r="AI44">
        <v>0.5</v>
      </c>
      <c r="AJ44">
        <v>0.125</v>
      </c>
      <c r="AK44">
        <v>6.25E-2</v>
      </c>
      <c r="AL44">
        <v>6.25E-2</v>
      </c>
    </row>
    <row r="45" spans="1:38" x14ac:dyDescent="0.25">
      <c r="A45">
        <v>2025</v>
      </c>
      <c r="B45" t="s">
        <v>36</v>
      </c>
      <c r="C45" t="s">
        <v>37</v>
      </c>
      <c r="D45" t="str" cm="1">
        <f t="array" ref="D45">_xlfn.XLOOKUP(1,('26 WR'!A:A=E45)*('26 WR'!B:B=F45),'26 WR'!C:C)</f>
        <v>Jonathan Taylor</v>
      </c>
      <c r="E45" t="s">
        <v>23</v>
      </c>
      <c r="F45">
        <v>4</v>
      </c>
      <c r="G45">
        <v>8</v>
      </c>
      <c r="H45">
        <v>15</v>
      </c>
      <c r="I45">
        <v>19.399999999999999</v>
      </c>
      <c r="J45">
        <v>26.9</v>
      </c>
      <c r="K45">
        <v>17.7</v>
      </c>
      <c r="L45">
        <v>16.7</v>
      </c>
      <c r="M45">
        <v>7.5</v>
      </c>
      <c r="N45">
        <v>36.799999999999997</v>
      </c>
      <c r="O45">
        <v>0</v>
      </c>
      <c r="P45">
        <v>5.8</v>
      </c>
      <c r="Q45">
        <v>38.200000000000003</v>
      </c>
      <c r="R45">
        <v>19.600000000000001</v>
      </c>
      <c r="S45">
        <v>55.4</v>
      </c>
      <c r="T45">
        <v>11.6</v>
      </c>
      <c r="U45">
        <v>37</v>
      </c>
      <c r="V45">
        <v>9.8000000000000007</v>
      </c>
      <c r="W45">
        <v>22.8</v>
      </c>
      <c r="X45">
        <v>6.4</v>
      </c>
      <c r="Y45">
        <v>346.6</v>
      </c>
      <c r="Z45">
        <v>21.6</v>
      </c>
      <c r="AA45">
        <v>1</v>
      </c>
      <c r="AB45">
        <v>1</v>
      </c>
      <c r="AC45">
        <v>13</v>
      </c>
      <c r="AD45">
        <v>11</v>
      </c>
      <c r="AE45">
        <v>7</v>
      </c>
      <c r="AF45">
        <v>5</v>
      </c>
      <c r="AG45">
        <v>4</v>
      </c>
      <c r="AH45">
        <v>0.76470588235294112</v>
      </c>
      <c r="AI45">
        <v>0.6470588235294118</v>
      </c>
      <c r="AJ45">
        <v>0.41176470588235292</v>
      </c>
      <c r="AK45">
        <v>0.29411764705882354</v>
      </c>
      <c r="AL45">
        <v>0.23529411764705882</v>
      </c>
    </row>
    <row r="46" spans="1:38" x14ac:dyDescent="0.25">
      <c r="A46">
        <v>2025</v>
      </c>
      <c r="B46" t="s">
        <v>40</v>
      </c>
      <c r="C46" t="s">
        <v>41</v>
      </c>
      <c r="D46" t="str" cm="1">
        <f t="array" ref="D46">_xlfn.XLOOKUP(1,('26 WR'!A:A=E46)*('26 WR'!B:B=F46),'26 WR'!C:C)</f>
        <v>Ashton Jeanty</v>
      </c>
      <c r="E46" t="s">
        <v>23</v>
      </c>
      <c r="F46">
        <v>5</v>
      </c>
      <c r="G46">
        <v>10</v>
      </c>
      <c r="H46">
        <v>29.2</v>
      </c>
      <c r="I46">
        <v>2.2999999999999998</v>
      </c>
      <c r="J46">
        <v>10.7</v>
      </c>
      <c r="K46">
        <v>7.8</v>
      </c>
      <c r="L46">
        <v>9.3000000000000007</v>
      </c>
      <c r="M46">
        <v>14</v>
      </c>
      <c r="N46">
        <v>0</v>
      </c>
      <c r="O46">
        <v>19.100000000000001</v>
      </c>
      <c r="P46">
        <v>13.1</v>
      </c>
      <c r="Q46">
        <v>11.4</v>
      </c>
      <c r="R46">
        <v>20.2</v>
      </c>
      <c r="S46">
        <v>22.8</v>
      </c>
      <c r="T46">
        <v>17.399999999999999</v>
      </c>
      <c r="U46">
        <v>11.2</v>
      </c>
      <c r="V46">
        <v>10</v>
      </c>
      <c r="W46">
        <v>22.8</v>
      </c>
      <c r="X46">
        <v>45.6</v>
      </c>
      <c r="Y46">
        <v>266.90000000000003</v>
      </c>
      <c r="Z46">
        <v>16.399999999999999</v>
      </c>
      <c r="AA46">
        <v>1</v>
      </c>
      <c r="AB46">
        <v>1</v>
      </c>
      <c r="AC46">
        <v>13</v>
      </c>
      <c r="AD46">
        <v>7</v>
      </c>
      <c r="AE46">
        <v>5</v>
      </c>
      <c r="AF46">
        <v>2</v>
      </c>
      <c r="AG46">
        <v>1</v>
      </c>
      <c r="AH46">
        <v>0.76470588235294112</v>
      </c>
      <c r="AI46">
        <v>0.41176470588235292</v>
      </c>
      <c r="AJ46">
        <v>0.29411764705882354</v>
      </c>
      <c r="AK46">
        <v>0.11764705882352941</v>
      </c>
      <c r="AL46">
        <v>5.8823529411764705E-2</v>
      </c>
    </row>
    <row r="47" spans="1:38" x14ac:dyDescent="0.25">
      <c r="A47">
        <v>2025</v>
      </c>
      <c r="B47" t="s">
        <v>47</v>
      </c>
      <c r="C47" t="s">
        <v>29</v>
      </c>
      <c r="D47" t="str" cm="1">
        <f t="array" ref="D47">_xlfn.XLOOKUP(1,('26 WR'!A:A=E47)*('26 WR'!B:B=F47),'26 WR'!C:C)</f>
        <v>James Cook III</v>
      </c>
      <c r="E47" t="s">
        <v>23</v>
      </c>
      <c r="F47">
        <v>6</v>
      </c>
      <c r="G47">
        <v>14</v>
      </c>
      <c r="H47">
        <v>12</v>
      </c>
      <c r="I47">
        <v>7.4</v>
      </c>
      <c r="J47">
        <v>6.3</v>
      </c>
      <c r="K47">
        <v>33.5</v>
      </c>
      <c r="L47">
        <v>15.9</v>
      </c>
      <c r="M47">
        <v>16.600000000000001</v>
      </c>
      <c r="N47">
        <v>4.4000000000000004</v>
      </c>
      <c r="O47">
        <v>0</v>
      </c>
      <c r="P47">
        <v>19.899999999999999</v>
      </c>
      <c r="Q47">
        <v>15.3</v>
      </c>
      <c r="R47">
        <v>9.4</v>
      </c>
      <c r="S47">
        <v>24.8</v>
      </c>
      <c r="T47">
        <v>12.1</v>
      </c>
      <c r="U47">
        <v>5.8</v>
      </c>
      <c r="V47">
        <v>8.1999999999999993</v>
      </c>
      <c r="W47">
        <v>31.8</v>
      </c>
      <c r="X47">
        <v>9.3000000000000007</v>
      </c>
      <c r="Y47">
        <v>232.70000000000007</v>
      </c>
      <c r="Z47">
        <v>14.4</v>
      </c>
      <c r="AA47">
        <v>1</v>
      </c>
      <c r="AB47">
        <v>1</v>
      </c>
      <c r="AC47">
        <v>10</v>
      </c>
      <c r="AD47">
        <v>7</v>
      </c>
      <c r="AE47">
        <v>3</v>
      </c>
      <c r="AF47">
        <v>2</v>
      </c>
      <c r="AG47">
        <v>2</v>
      </c>
      <c r="AH47">
        <v>0.58823529411764708</v>
      </c>
      <c r="AI47">
        <v>0.41176470588235292</v>
      </c>
      <c r="AJ47">
        <v>0.17647058823529413</v>
      </c>
      <c r="AK47">
        <v>0.11764705882352941</v>
      </c>
      <c r="AL47">
        <v>0.11764705882352941</v>
      </c>
    </row>
    <row r="48" spans="1:38" x14ac:dyDescent="0.25">
      <c r="A48">
        <v>2025</v>
      </c>
      <c r="B48" t="s">
        <v>52</v>
      </c>
      <c r="C48" t="s">
        <v>21</v>
      </c>
      <c r="D48" t="str" cm="1">
        <f t="array" ref="D48">_xlfn.XLOOKUP(1,('26 WR'!A:A=E48)*('26 WR'!B:B=F48),'26 WR'!C:C)</f>
        <v>De'Von Achane</v>
      </c>
      <c r="E48" t="s">
        <v>23</v>
      </c>
      <c r="F48">
        <v>7</v>
      </c>
      <c r="G48">
        <v>17</v>
      </c>
      <c r="H48">
        <v>13.1</v>
      </c>
      <c r="I48">
        <v>8.5</v>
      </c>
      <c r="J48">
        <v>6</v>
      </c>
      <c r="K48">
        <v>10.1</v>
      </c>
      <c r="L48">
        <v>11.8</v>
      </c>
      <c r="M48">
        <v>8.9</v>
      </c>
      <c r="N48">
        <v>12</v>
      </c>
      <c r="O48">
        <v>25.5</v>
      </c>
      <c r="P48">
        <v>19.2</v>
      </c>
      <c r="Q48">
        <v>0</v>
      </c>
      <c r="R48">
        <v>18.7</v>
      </c>
      <c r="S48">
        <v>15</v>
      </c>
      <c r="T48">
        <v>18.3</v>
      </c>
      <c r="U48">
        <v>18.5</v>
      </c>
      <c r="V48">
        <v>16</v>
      </c>
      <c r="W48">
        <v>32.9</v>
      </c>
      <c r="X48">
        <v>29.1</v>
      </c>
      <c r="Y48">
        <v>263.60000000000002</v>
      </c>
      <c r="Z48">
        <v>16.600000000000001</v>
      </c>
      <c r="AA48">
        <v>2</v>
      </c>
      <c r="AB48">
        <v>1</v>
      </c>
      <c r="AC48">
        <v>14</v>
      </c>
      <c r="AD48">
        <v>9</v>
      </c>
      <c r="AE48">
        <v>3</v>
      </c>
      <c r="AF48">
        <v>3</v>
      </c>
      <c r="AG48">
        <v>1</v>
      </c>
      <c r="AH48">
        <v>0.82352941176470584</v>
      </c>
      <c r="AI48">
        <v>0.52941176470588236</v>
      </c>
      <c r="AJ48">
        <v>0.17647058823529413</v>
      </c>
      <c r="AK48">
        <v>0.17647058823529413</v>
      </c>
      <c r="AL48">
        <v>5.8823529411764705E-2</v>
      </c>
    </row>
    <row r="49" spans="1:38" x14ac:dyDescent="0.25">
      <c r="A49">
        <v>2025</v>
      </c>
      <c r="B49" t="s">
        <v>54</v>
      </c>
      <c r="C49" t="s">
        <v>55</v>
      </c>
      <c r="D49" t="str" cm="1">
        <f t="array" ref="D49">_xlfn.XLOOKUP(1,('26 WR'!A:A=E49)*('26 WR'!B:B=F49),'26 WR'!C:C)</f>
        <v>Chase Brown</v>
      </c>
      <c r="E49" t="s">
        <v>23</v>
      </c>
      <c r="F49">
        <v>8</v>
      </c>
      <c r="G49">
        <v>19</v>
      </c>
      <c r="H49">
        <v>12.8</v>
      </c>
      <c r="I49">
        <v>29.5</v>
      </c>
      <c r="J49">
        <v>32.799999999999997</v>
      </c>
      <c r="K49">
        <v>14.6</v>
      </c>
      <c r="L49">
        <v>31.6</v>
      </c>
      <c r="M49">
        <v>23.7</v>
      </c>
      <c r="N49">
        <v>34.200000000000003</v>
      </c>
      <c r="O49">
        <v>37.4</v>
      </c>
      <c r="P49">
        <v>7.7</v>
      </c>
      <c r="Q49">
        <v>49.6</v>
      </c>
      <c r="R49">
        <v>0</v>
      </c>
      <c r="S49">
        <v>8.6</v>
      </c>
      <c r="T49">
        <v>15.1</v>
      </c>
      <c r="U49">
        <v>11.4</v>
      </c>
      <c r="V49">
        <v>13.1</v>
      </c>
      <c r="W49">
        <v>16.899999999999999</v>
      </c>
      <c r="X49">
        <v>17.399999999999999</v>
      </c>
      <c r="Y49">
        <v>356.4</v>
      </c>
      <c r="Z49">
        <v>21.3</v>
      </c>
      <c r="AA49">
        <v>2</v>
      </c>
      <c r="AB49">
        <v>1</v>
      </c>
      <c r="AC49">
        <v>14</v>
      </c>
      <c r="AD49">
        <v>10</v>
      </c>
      <c r="AE49">
        <v>7</v>
      </c>
      <c r="AF49">
        <v>6</v>
      </c>
      <c r="AG49">
        <v>5</v>
      </c>
      <c r="AH49">
        <v>0.82352941176470584</v>
      </c>
      <c r="AI49">
        <v>0.58823529411764708</v>
      </c>
      <c r="AJ49">
        <v>0.41176470588235292</v>
      </c>
      <c r="AK49">
        <v>0.35294117647058826</v>
      </c>
      <c r="AL49">
        <v>0.29411764705882354</v>
      </c>
    </row>
    <row r="50" spans="1:38" x14ac:dyDescent="0.25">
      <c r="A50">
        <v>2025</v>
      </c>
      <c r="B50" t="s">
        <v>56</v>
      </c>
      <c r="C50" t="s">
        <v>57</v>
      </c>
      <c r="D50" t="str" cm="1">
        <f t="array" ref="D50">_xlfn.XLOOKUP(1,('26 WR'!A:A=E50)*('26 WR'!B:B=F50),'26 WR'!C:C)</f>
        <v>Saquon Barkley</v>
      </c>
      <c r="E50" t="s">
        <v>23</v>
      </c>
      <c r="F50">
        <v>9</v>
      </c>
      <c r="G50">
        <v>20</v>
      </c>
      <c r="H50">
        <v>14.5</v>
      </c>
      <c r="I50">
        <v>18.100000000000001</v>
      </c>
      <c r="J50">
        <v>13.9</v>
      </c>
      <c r="K50">
        <v>25.5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16.100000000000001</v>
      </c>
      <c r="U50">
        <v>16.100000000000001</v>
      </c>
      <c r="V50">
        <v>8.1</v>
      </c>
      <c r="W50">
        <v>7.1</v>
      </c>
      <c r="X50">
        <v>8.3000000000000007</v>
      </c>
      <c r="Y50">
        <v>127.69999999999997</v>
      </c>
      <c r="Z50">
        <v>13.9</v>
      </c>
      <c r="AA50">
        <v>2</v>
      </c>
      <c r="AB50">
        <v>1</v>
      </c>
      <c r="AC50">
        <v>7</v>
      </c>
      <c r="AD50">
        <v>4</v>
      </c>
      <c r="AE50">
        <v>1</v>
      </c>
      <c r="AF50">
        <v>1</v>
      </c>
      <c r="AG50">
        <v>0</v>
      </c>
      <c r="AH50">
        <v>0.41176470588235292</v>
      </c>
      <c r="AI50">
        <v>0.4</v>
      </c>
      <c r="AJ50">
        <v>0.1</v>
      </c>
      <c r="AK50">
        <v>0.1</v>
      </c>
      <c r="AL50">
        <v>0</v>
      </c>
    </row>
    <row r="51" spans="1:38" x14ac:dyDescent="0.25">
      <c r="A51">
        <v>2025</v>
      </c>
      <c r="B51" t="s">
        <v>58</v>
      </c>
      <c r="C51" t="s">
        <v>59</v>
      </c>
      <c r="D51" t="str" cm="1">
        <f t="array" ref="D51">_xlfn.XLOOKUP(1,('26 WR'!A:A=E51)*('26 WR'!B:B=F51),'26 WR'!C:C)</f>
        <v>Omarion Hampton</v>
      </c>
      <c r="E51" t="s">
        <v>23</v>
      </c>
      <c r="F51">
        <v>10</v>
      </c>
      <c r="G51">
        <v>21</v>
      </c>
      <c r="H51">
        <v>16.5</v>
      </c>
      <c r="I51">
        <v>26.2</v>
      </c>
      <c r="J51">
        <v>16.100000000000001</v>
      </c>
      <c r="K51">
        <v>17.100000000000001</v>
      </c>
      <c r="L51">
        <v>16.600000000000001</v>
      </c>
      <c r="M51">
        <v>31</v>
      </c>
      <c r="N51">
        <v>12.8</v>
      </c>
      <c r="O51">
        <v>20.100000000000001</v>
      </c>
      <c r="P51">
        <v>16.600000000000001</v>
      </c>
      <c r="Q51">
        <v>40.5</v>
      </c>
      <c r="R51">
        <v>21.5</v>
      </c>
      <c r="S51">
        <v>0</v>
      </c>
      <c r="T51">
        <v>19.399999999999999</v>
      </c>
      <c r="U51">
        <v>17.5</v>
      </c>
      <c r="V51">
        <v>18.7</v>
      </c>
      <c r="W51">
        <v>18</v>
      </c>
      <c r="X51">
        <v>14.2</v>
      </c>
      <c r="Y51">
        <v>322.79999999999995</v>
      </c>
      <c r="Z51">
        <v>20.2</v>
      </c>
      <c r="AA51">
        <v>2</v>
      </c>
      <c r="AB51">
        <v>1</v>
      </c>
      <c r="AC51">
        <v>16</v>
      </c>
      <c r="AD51">
        <v>14</v>
      </c>
      <c r="AE51">
        <v>5</v>
      </c>
      <c r="AF51">
        <v>3</v>
      </c>
      <c r="AG51">
        <v>2</v>
      </c>
      <c r="AH51">
        <v>0.94117647058823528</v>
      </c>
      <c r="AI51">
        <v>0.875</v>
      </c>
      <c r="AJ51">
        <v>0.3125</v>
      </c>
      <c r="AK51">
        <v>0.1875</v>
      </c>
      <c r="AL51">
        <v>0.125</v>
      </c>
    </row>
    <row r="52" spans="1:38" x14ac:dyDescent="0.25">
      <c r="A52">
        <v>2025</v>
      </c>
      <c r="B52" t="s">
        <v>60</v>
      </c>
      <c r="C52" t="s">
        <v>61</v>
      </c>
      <c r="D52" t="str" cm="1">
        <f t="array" ref="D52">_xlfn.XLOOKUP(1,('26 WR'!A:A=E52)*('26 WR'!B:B=F52),'26 WR'!C:C)</f>
        <v>Kenneth Walker III</v>
      </c>
      <c r="E52" t="s">
        <v>23</v>
      </c>
      <c r="F52">
        <v>11</v>
      </c>
      <c r="G52">
        <v>22</v>
      </c>
      <c r="H52">
        <v>14</v>
      </c>
      <c r="I52">
        <v>14.4</v>
      </c>
      <c r="J52">
        <v>12.4</v>
      </c>
      <c r="K52">
        <v>31.7</v>
      </c>
      <c r="L52">
        <v>0</v>
      </c>
      <c r="M52">
        <v>32</v>
      </c>
      <c r="N52">
        <v>18.8</v>
      </c>
      <c r="O52">
        <v>13.5</v>
      </c>
      <c r="P52">
        <v>20</v>
      </c>
      <c r="Q52">
        <v>19.7</v>
      </c>
      <c r="R52">
        <v>4</v>
      </c>
      <c r="S52">
        <v>0</v>
      </c>
      <c r="T52">
        <v>10.1</v>
      </c>
      <c r="U52">
        <v>17.2</v>
      </c>
      <c r="V52">
        <v>23.2</v>
      </c>
      <c r="W52">
        <v>4.8</v>
      </c>
      <c r="X52">
        <v>1.3</v>
      </c>
      <c r="Y52">
        <v>237.1</v>
      </c>
      <c r="Z52">
        <v>15.8</v>
      </c>
      <c r="AA52">
        <v>2</v>
      </c>
      <c r="AB52">
        <v>1</v>
      </c>
      <c r="AC52">
        <v>12</v>
      </c>
      <c r="AD52">
        <v>7</v>
      </c>
      <c r="AE52">
        <v>3</v>
      </c>
      <c r="AF52">
        <v>2</v>
      </c>
      <c r="AG52">
        <v>2</v>
      </c>
      <c r="AH52">
        <v>0.70588235294117652</v>
      </c>
      <c r="AI52">
        <v>0.46666666666666667</v>
      </c>
      <c r="AJ52">
        <v>0.2</v>
      </c>
      <c r="AK52">
        <v>0.13333333333333333</v>
      </c>
      <c r="AL52">
        <v>0.13333333333333333</v>
      </c>
    </row>
    <row r="53" spans="1:38" x14ac:dyDescent="0.25">
      <c r="A53">
        <v>2025</v>
      </c>
      <c r="B53" t="s">
        <v>71</v>
      </c>
      <c r="C53" t="s">
        <v>49</v>
      </c>
      <c r="D53" t="str" cm="1">
        <f t="array" ref="D53">_xlfn.XLOOKUP(1,('26 WR'!A:A=E53)*('26 WR'!B:B=F53),'26 WR'!C:C)</f>
        <v>Jeremiyah Love</v>
      </c>
      <c r="E53" t="s">
        <v>23</v>
      </c>
      <c r="F53">
        <v>12</v>
      </c>
      <c r="G53">
        <v>29</v>
      </c>
      <c r="H53">
        <v>13.9</v>
      </c>
      <c r="I53">
        <v>10</v>
      </c>
      <c r="J53">
        <v>19.2</v>
      </c>
      <c r="K53">
        <v>10.4</v>
      </c>
      <c r="L53">
        <v>31.1</v>
      </c>
      <c r="M53">
        <v>16.7</v>
      </c>
      <c r="N53">
        <v>8.5</v>
      </c>
      <c r="O53">
        <v>0</v>
      </c>
      <c r="P53">
        <v>17.399999999999999</v>
      </c>
      <c r="Q53">
        <v>22.4</v>
      </c>
      <c r="R53">
        <v>16.600000000000001</v>
      </c>
      <c r="S53">
        <v>5.8</v>
      </c>
      <c r="T53">
        <v>13.2</v>
      </c>
      <c r="U53">
        <v>17.7</v>
      </c>
      <c r="V53">
        <v>21.8</v>
      </c>
      <c r="W53">
        <v>11.5</v>
      </c>
      <c r="X53">
        <v>16</v>
      </c>
      <c r="Y53">
        <v>252.2</v>
      </c>
      <c r="Z53">
        <v>15.5</v>
      </c>
      <c r="AA53">
        <v>3</v>
      </c>
      <c r="AB53">
        <v>1</v>
      </c>
      <c r="AC53">
        <v>14</v>
      </c>
      <c r="AD53">
        <v>9</v>
      </c>
      <c r="AE53">
        <v>3</v>
      </c>
      <c r="AF53">
        <v>1</v>
      </c>
      <c r="AG53">
        <v>1</v>
      </c>
      <c r="AH53">
        <v>0.82352941176470584</v>
      </c>
      <c r="AI53">
        <v>0.52941176470588236</v>
      </c>
      <c r="AJ53">
        <v>0.17647058823529413</v>
      </c>
      <c r="AK53">
        <v>5.8823529411764705E-2</v>
      </c>
      <c r="AL53">
        <v>5.8823529411764705E-2</v>
      </c>
    </row>
    <row r="54" spans="1:38" x14ac:dyDescent="0.25">
      <c r="A54">
        <v>2025</v>
      </c>
      <c r="B54" t="s">
        <v>72</v>
      </c>
      <c r="C54" t="s">
        <v>65</v>
      </c>
      <c r="D54" t="str" cm="1">
        <f t="array" ref="D54">_xlfn.XLOOKUP(1,('26 WR'!A:A=E54)*('26 WR'!B:B=F54),'26 WR'!C:C)</f>
        <v>Derrick Henry</v>
      </c>
      <c r="E54" t="s">
        <v>23</v>
      </c>
      <c r="F54">
        <v>13</v>
      </c>
      <c r="G54">
        <v>30</v>
      </c>
      <c r="H54">
        <v>8.1</v>
      </c>
      <c r="I54">
        <v>3.5</v>
      </c>
      <c r="J54">
        <v>24.9</v>
      </c>
      <c r="K54">
        <v>27.5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14.7</v>
      </c>
      <c r="V54">
        <v>7.5</v>
      </c>
      <c r="W54">
        <v>16.5</v>
      </c>
      <c r="X54">
        <v>20</v>
      </c>
      <c r="Y54">
        <v>135.69999999999999</v>
      </c>
      <c r="Z54">
        <v>15.1</v>
      </c>
      <c r="AA54">
        <v>3</v>
      </c>
      <c r="AB54">
        <v>1</v>
      </c>
      <c r="AC54">
        <v>6</v>
      </c>
      <c r="AD54">
        <v>4</v>
      </c>
      <c r="AE54">
        <v>2</v>
      </c>
      <c r="AF54">
        <v>1</v>
      </c>
      <c r="AG54">
        <v>0</v>
      </c>
      <c r="AH54">
        <v>0.35294117647058826</v>
      </c>
      <c r="AI54">
        <v>0.44444444444444442</v>
      </c>
      <c r="AJ54">
        <v>0.22222222222222221</v>
      </c>
      <c r="AK54">
        <v>0.1111111111111111</v>
      </c>
      <c r="AL54">
        <v>0</v>
      </c>
    </row>
    <row r="55" spans="1:38" x14ac:dyDescent="0.25">
      <c r="A55">
        <v>2025</v>
      </c>
      <c r="B55" t="s">
        <v>76</v>
      </c>
      <c r="C55" t="s">
        <v>68</v>
      </c>
      <c r="D55" t="str" cm="1">
        <f t="array" ref="D55">_xlfn.XLOOKUP(1,('26 WR'!A:A=E55)*('26 WR'!B:B=F55),'26 WR'!C:C)</f>
        <v>Breece Hall</v>
      </c>
      <c r="E55" t="s">
        <v>23</v>
      </c>
      <c r="F55">
        <v>14</v>
      </c>
      <c r="G55">
        <v>33</v>
      </c>
      <c r="H55">
        <v>21.2</v>
      </c>
      <c r="I55">
        <v>26.5</v>
      </c>
      <c r="J55">
        <v>20.8</v>
      </c>
      <c r="K55">
        <v>22.5</v>
      </c>
      <c r="L55">
        <v>4.9000000000000004</v>
      </c>
      <c r="M55">
        <v>8.6999999999999993</v>
      </c>
      <c r="N55">
        <v>0</v>
      </c>
      <c r="O55">
        <v>33.6</v>
      </c>
      <c r="P55">
        <v>13.5</v>
      </c>
      <c r="Q55">
        <v>10.7</v>
      </c>
      <c r="R55">
        <v>20.399999999999999</v>
      </c>
      <c r="S55">
        <v>21.9</v>
      </c>
      <c r="T55">
        <v>18.7</v>
      </c>
      <c r="U55">
        <v>11.1</v>
      </c>
      <c r="V55">
        <v>31.1</v>
      </c>
      <c r="W55">
        <v>26.4</v>
      </c>
      <c r="X55">
        <v>8.6999999999999993</v>
      </c>
      <c r="Y55">
        <v>300.7</v>
      </c>
      <c r="Z55">
        <v>17.8</v>
      </c>
      <c r="AA55">
        <v>3</v>
      </c>
      <c r="AB55">
        <v>1</v>
      </c>
      <c r="AC55">
        <v>13</v>
      </c>
      <c r="AD55">
        <v>10</v>
      </c>
      <c r="AE55">
        <v>9</v>
      </c>
      <c r="AF55">
        <v>4</v>
      </c>
      <c r="AG55">
        <v>2</v>
      </c>
      <c r="AH55">
        <v>0.76470588235294112</v>
      </c>
      <c r="AI55">
        <v>0.58823529411764708</v>
      </c>
      <c r="AJ55">
        <v>0.52941176470588236</v>
      </c>
      <c r="AK55">
        <v>0.23529411764705882</v>
      </c>
      <c r="AL55">
        <v>0.11764705882352941</v>
      </c>
    </row>
    <row r="56" spans="1:38" x14ac:dyDescent="0.25">
      <c r="A56">
        <v>2025</v>
      </c>
      <c r="B56" t="s">
        <v>77</v>
      </c>
      <c r="C56" t="s">
        <v>78</v>
      </c>
      <c r="D56" t="str" cm="1">
        <f t="array" ref="D56">_xlfn.XLOOKUP(1,('26 WR'!A:A=E56)*('26 WR'!B:B=F56),'26 WR'!C:C)</f>
        <v>Kyren Williams</v>
      </c>
      <c r="E56" t="s">
        <v>23</v>
      </c>
      <c r="F56">
        <v>15</v>
      </c>
      <c r="G56">
        <v>34</v>
      </c>
      <c r="H56">
        <v>11.1</v>
      </c>
      <c r="I56">
        <v>6</v>
      </c>
      <c r="J56">
        <v>7.7</v>
      </c>
      <c r="K56">
        <v>12.6</v>
      </c>
      <c r="L56">
        <v>4.7</v>
      </c>
      <c r="M56">
        <v>4.5999999999999996</v>
      </c>
      <c r="N56">
        <v>0.5</v>
      </c>
      <c r="O56">
        <v>5.5</v>
      </c>
      <c r="P56">
        <v>12.7</v>
      </c>
      <c r="Q56">
        <v>28</v>
      </c>
      <c r="R56">
        <v>32.299999999999997</v>
      </c>
      <c r="S56">
        <v>11.1</v>
      </c>
      <c r="T56">
        <v>11.6</v>
      </c>
      <c r="U56">
        <v>0</v>
      </c>
      <c r="V56">
        <v>30.1</v>
      </c>
      <c r="W56">
        <v>2.2000000000000002</v>
      </c>
      <c r="X56">
        <v>8.1999999999999993</v>
      </c>
      <c r="Y56">
        <v>188.89999999999998</v>
      </c>
      <c r="Z56">
        <v>12.1</v>
      </c>
      <c r="AA56">
        <v>3</v>
      </c>
      <c r="AB56">
        <v>1</v>
      </c>
      <c r="AC56">
        <v>9</v>
      </c>
      <c r="AD56">
        <v>4</v>
      </c>
      <c r="AE56">
        <v>3</v>
      </c>
      <c r="AF56">
        <v>3</v>
      </c>
      <c r="AG56">
        <v>2</v>
      </c>
      <c r="AH56">
        <v>0.52941176470588236</v>
      </c>
      <c r="AI56">
        <v>0.23529411764705882</v>
      </c>
      <c r="AJ56">
        <v>0.17647058823529413</v>
      </c>
      <c r="AK56">
        <v>0.17647058823529413</v>
      </c>
      <c r="AL56">
        <v>0.11764705882352941</v>
      </c>
    </row>
    <row r="57" spans="1:38" x14ac:dyDescent="0.25">
      <c r="A57">
        <v>2025</v>
      </c>
      <c r="B57" t="s">
        <v>86</v>
      </c>
      <c r="C57" t="s">
        <v>74</v>
      </c>
      <c r="D57" t="str" cm="1">
        <f t="array" ref="D57">_xlfn.XLOOKUP(1,('26 WR'!A:A=E57)*('26 WR'!B:B=F57),'26 WR'!C:C)</f>
        <v>Josh Jacobs</v>
      </c>
      <c r="E57" t="s">
        <v>23</v>
      </c>
      <c r="F57">
        <v>16</v>
      </c>
      <c r="G57">
        <v>40</v>
      </c>
      <c r="H57">
        <v>5.4</v>
      </c>
      <c r="I57">
        <v>18.8</v>
      </c>
      <c r="J57">
        <v>18</v>
      </c>
      <c r="K57">
        <v>12</v>
      </c>
      <c r="L57">
        <v>9.6</v>
      </c>
      <c r="M57">
        <v>4.7</v>
      </c>
      <c r="N57">
        <v>6.6</v>
      </c>
      <c r="O57">
        <v>0</v>
      </c>
      <c r="P57">
        <v>8.1</v>
      </c>
      <c r="Q57">
        <v>8</v>
      </c>
      <c r="R57">
        <v>20.100000000000001</v>
      </c>
      <c r="S57">
        <v>13.1</v>
      </c>
      <c r="T57">
        <v>10.4</v>
      </c>
      <c r="U57">
        <v>3.8</v>
      </c>
      <c r="V57">
        <v>2.9</v>
      </c>
      <c r="W57">
        <v>25.4</v>
      </c>
      <c r="X57">
        <v>7.7</v>
      </c>
      <c r="Y57">
        <v>174.6</v>
      </c>
      <c r="Z57">
        <v>11.3</v>
      </c>
      <c r="AA57">
        <v>4</v>
      </c>
      <c r="AB57">
        <v>1</v>
      </c>
      <c r="AC57">
        <v>8</v>
      </c>
      <c r="AD57">
        <v>5</v>
      </c>
      <c r="AE57">
        <v>2</v>
      </c>
      <c r="AF57">
        <v>1</v>
      </c>
      <c r="AG57">
        <v>0</v>
      </c>
      <c r="AH57">
        <v>0.47058823529411764</v>
      </c>
      <c r="AI57">
        <v>0.29411764705882354</v>
      </c>
      <c r="AJ57">
        <v>0.11764705882352941</v>
      </c>
      <c r="AK57">
        <v>5.8823529411764705E-2</v>
      </c>
      <c r="AL57">
        <v>0</v>
      </c>
    </row>
    <row r="58" spans="1:38" x14ac:dyDescent="0.25">
      <c r="A58">
        <v>2025</v>
      </c>
      <c r="B58" t="s">
        <v>95</v>
      </c>
      <c r="C58" t="s">
        <v>96</v>
      </c>
      <c r="D58" t="str" cm="1">
        <f t="array" ref="D58">_xlfn.XLOOKUP(1,('26 WR'!A:A=E58)*('26 WR'!B:B=F58),'26 WR'!C:C)</f>
        <v>Travis Etienne Jr.</v>
      </c>
      <c r="E58" t="s">
        <v>23</v>
      </c>
      <c r="F58">
        <v>17</v>
      </c>
      <c r="G58">
        <v>47</v>
      </c>
      <c r="H58">
        <v>13.7</v>
      </c>
      <c r="I58">
        <v>16</v>
      </c>
      <c r="J58">
        <v>6.6</v>
      </c>
      <c r="K58">
        <v>11.2</v>
      </c>
      <c r="L58">
        <v>9.5</v>
      </c>
      <c r="M58">
        <v>12.6</v>
      </c>
      <c r="N58">
        <v>5.9</v>
      </c>
      <c r="O58">
        <v>6.5</v>
      </c>
      <c r="P58">
        <v>0.7</v>
      </c>
      <c r="Q58">
        <v>14.5</v>
      </c>
      <c r="R58">
        <v>0</v>
      </c>
      <c r="S58">
        <v>3.5</v>
      </c>
      <c r="T58">
        <v>0</v>
      </c>
      <c r="U58">
        <v>0</v>
      </c>
      <c r="V58">
        <v>0</v>
      </c>
      <c r="W58">
        <v>0</v>
      </c>
      <c r="X58">
        <v>0</v>
      </c>
      <c r="Y58">
        <v>100.7</v>
      </c>
      <c r="Z58">
        <v>9.1999999999999993</v>
      </c>
      <c r="AA58">
        <v>4</v>
      </c>
      <c r="AB58">
        <v>1</v>
      </c>
      <c r="AC58">
        <v>5</v>
      </c>
      <c r="AD58">
        <v>1</v>
      </c>
      <c r="AE58">
        <v>0</v>
      </c>
      <c r="AF58">
        <v>0</v>
      </c>
      <c r="AG58">
        <v>0</v>
      </c>
      <c r="AH58">
        <v>0.29411764705882354</v>
      </c>
      <c r="AI58">
        <v>9.0909090909090912E-2</v>
      </c>
      <c r="AJ58">
        <v>0</v>
      </c>
      <c r="AK58">
        <v>0</v>
      </c>
      <c r="AL58">
        <v>0</v>
      </c>
    </row>
    <row r="59" spans="1:38" x14ac:dyDescent="0.25">
      <c r="A59">
        <v>2025</v>
      </c>
      <c r="B59" t="s">
        <v>105</v>
      </c>
      <c r="C59" t="s">
        <v>90</v>
      </c>
      <c r="D59" t="str" cm="1">
        <f t="array" ref="D59">_xlfn.XLOOKUP(1,('26 WR'!A:A=E59)*('26 WR'!B:B=F59),'26 WR'!C:C)</f>
        <v>Javonte Williams</v>
      </c>
      <c r="E59" t="s">
        <v>23</v>
      </c>
      <c r="F59">
        <v>18</v>
      </c>
      <c r="G59">
        <v>55</v>
      </c>
      <c r="H59">
        <v>16.5</v>
      </c>
      <c r="I59">
        <v>5.8</v>
      </c>
      <c r="J59">
        <v>9.1999999999999993</v>
      </c>
      <c r="K59">
        <v>16.100000000000001</v>
      </c>
      <c r="L59">
        <v>17.5</v>
      </c>
      <c r="M59">
        <v>5.9</v>
      </c>
      <c r="N59">
        <v>7.2</v>
      </c>
      <c r="O59">
        <v>32.9</v>
      </c>
      <c r="P59">
        <v>0</v>
      </c>
      <c r="Q59">
        <v>19.5</v>
      </c>
      <c r="R59">
        <v>8.4</v>
      </c>
      <c r="S59">
        <v>13.9</v>
      </c>
      <c r="T59">
        <v>15.6</v>
      </c>
      <c r="U59">
        <v>4.3</v>
      </c>
      <c r="V59">
        <v>5.7</v>
      </c>
      <c r="W59">
        <v>8.3000000000000007</v>
      </c>
      <c r="X59">
        <v>20.9</v>
      </c>
      <c r="Y59">
        <v>207.70000000000002</v>
      </c>
      <c r="Z59">
        <v>13</v>
      </c>
      <c r="AA59">
        <v>5</v>
      </c>
      <c r="AB59">
        <v>1</v>
      </c>
      <c r="AC59">
        <v>8</v>
      </c>
      <c r="AD59">
        <v>7</v>
      </c>
      <c r="AE59">
        <v>2</v>
      </c>
      <c r="AF59">
        <v>1</v>
      </c>
      <c r="AG59">
        <v>1</v>
      </c>
      <c r="AH59">
        <v>0.47058823529411764</v>
      </c>
      <c r="AI59">
        <v>0.4375</v>
      </c>
      <c r="AJ59">
        <v>0.125</v>
      </c>
      <c r="AK59">
        <v>6.25E-2</v>
      </c>
      <c r="AL59">
        <v>6.25E-2</v>
      </c>
    </row>
    <row r="60" spans="1:38" x14ac:dyDescent="0.25">
      <c r="A60">
        <v>2025</v>
      </c>
      <c r="B60" t="s">
        <v>106</v>
      </c>
      <c r="C60" t="s">
        <v>92</v>
      </c>
      <c r="D60" t="str" cm="1">
        <f t="array" ref="D60">_xlfn.XLOOKUP(1,('26 WR'!A:A=E60)*('26 WR'!B:B=F60),'26 WR'!C:C)</f>
        <v>Cam Skattebo</v>
      </c>
      <c r="E60" t="s">
        <v>23</v>
      </c>
      <c r="F60">
        <v>19</v>
      </c>
      <c r="G60">
        <v>56</v>
      </c>
      <c r="H60">
        <v>17.899999999999999</v>
      </c>
      <c r="I60">
        <v>18.7</v>
      </c>
      <c r="J60">
        <v>9.6</v>
      </c>
      <c r="K60">
        <v>9.9</v>
      </c>
      <c r="L60">
        <v>0</v>
      </c>
      <c r="M60">
        <v>0</v>
      </c>
      <c r="N60">
        <v>7.5</v>
      </c>
      <c r="O60">
        <v>9.4</v>
      </c>
      <c r="P60">
        <v>1.7</v>
      </c>
      <c r="Q60">
        <v>2.5</v>
      </c>
      <c r="R60">
        <v>3.8</v>
      </c>
      <c r="S60">
        <v>8.3000000000000007</v>
      </c>
      <c r="T60">
        <v>20.399999999999999</v>
      </c>
      <c r="U60">
        <v>0</v>
      </c>
      <c r="V60">
        <v>4.8</v>
      </c>
      <c r="W60">
        <v>4.4000000000000004</v>
      </c>
      <c r="X60">
        <v>2.8</v>
      </c>
      <c r="Y60">
        <v>121.69999999999999</v>
      </c>
      <c r="Z60">
        <v>8.4</v>
      </c>
      <c r="AA60">
        <v>5</v>
      </c>
      <c r="AB60">
        <v>1</v>
      </c>
      <c r="AC60">
        <v>3</v>
      </c>
      <c r="AD60">
        <v>3</v>
      </c>
      <c r="AE60">
        <v>1</v>
      </c>
      <c r="AF60">
        <v>0</v>
      </c>
      <c r="AG60">
        <v>0</v>
      </c>
      <c r="AH60">
        <v>0.17647058823529413</v>
      </c>
      <c r="AI60">
        <v>0.2</v>
      </c>
      <c r="AJ60">
        <v>6.6666666666666666E-2</v>
      </c>
      <c r="AK60">
        <v>0</v>
      </c>
      <c r="AL60">
        <v>0</v>
      </c>
    </row>
    <row r="61" spans="1:38" x14ac:dyDescent="0.25">
      <c r="A61">
        <v>2025</v>
      </c>
      <c r="B61" t="s">
        <v>112</v>
      </c>
      <c r="C61" t="s">
        <v>45</v>
      </c>
      <c r="D61" t="str" cm="1">
        <f t="array" ref="D61">_xlfn.XLOOKUP(1,('26 WR'!A:A=E61)*('26 WR'!B:B=F61),'26 WR'!C:C)</f>
        <v>Bucky Irving</v>
      </c>
      <c r="E61" t="s">
        <v>23</v>
      </c>
      <c r="F61">
        <v>20</v>
      </c>
      <c r="G61">
        <v>60</v>
      </c>
      <c r="H61">
        <v>14.4</v>
      </c>
      <c r="I61">
        <v>12.2</v>
      </c>
      <c r="J61">
        <v>6.7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33.300000000000004</v>
      </c>
      <c r="Z61">
        <v>8.3000000000000007</v>
      </c>
      <c r="AA61">
        <v>20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0.11764705882352941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2025</v>
      </c>
      <c r="B62" t="s">
        <v>116</v>
      </c>
      <c r="C62" t="s">
        <v>98</v>
      </c>
      <c r="D62" t="str" cm="1">
        <f t="array" ref="D62">_xlfn.XLOOKUP(1,('26 WR'!A:A=E62)*('26 WR'!B:B=F62),'26 WR'!C:C)</f>
        <v>TreVeyon Henderson</v>
      </c>
      <c r="E62" t="s">
        <v>23</v>
      </c>
      <c r="F62">
        <v>21</v>
      </c>
      <c r="G62">
        <v>63</v>
      </c>
      <c r="H62">
        <v>7.9</v>
      </c>
      <c r="I62">
        <v>3.4</v>
      </c>
      <c r="J62">
        <v>4.5999999999999996</v>
      </c>
      <c r="K62">
        <v>19.8</v>
      </c>
      <c r="L62">
        <v>6</v>
      </c>
      <c r="M62">
        <v>6.5</v>
      </c>
      <c r="N62">
        <v>7.2</v>
      </c>
      <c r="O62">
        <v>24.1</v>
      </c>
      <c r="P62">
        <v>16.600000000000001</v>
      </c>
      <c r="Q62">
        <v>3.8</v>
      </c>
      <c r="R62">
        <v>8</v>
      </c>
      <c r="S62">
        <v>0</v>
      </c>
      <c r="T62">
        <v>21.2</v>
      </c>
      <c r="U62">
        <v>22</v>
      </c>
      <c r="V62">
        <v>10.5</v>
      </c>
      <c r="W62">
        <v>22.1</v>
      </c>
      <c r="X62">
        <v>18.600000000000001</v>
      </c>
      <c r="Y62">
        <v>202.29999999999998</v>
      </c>
      <c r="Z62">
        <v>12.2</v>
      </c>
      <c r="AA62">
        <v>5</v>
      </c>
      <c r="AB62">
        <v>1</v>
      </c>
      <c r="AC62">
        <v>8</v>
      </c>
      <c r="AD62">
        <v>7</v>
      </c>
      <c r="AE62">
        <v>4</v>
      </c>
      <c r="AF62">
        <v>0</v>
      </c>
      <c r="AG62">
        <v>0</v>
      </c>
      <c r="AH62">
        <v>0.47058823529411764</v>
      </c>
      <c r="AI62">
        <v>0.41176470588235292</v>
      </c>
      <c r="AJ62">
        <v>0.23529411764705882</v>
      </c>
      <c r="AK62">
        <v>0</v>
      </c>
      <c r="AL62">
        <v>0</v>
      </c>
    </row>
    <row r="63" spans="1:38" x14ac:dyDescent="0.25">
      <c r="A63">
        <v>2025</v>
      </c>
      <c r="B63" t="s">
        <v>117</v>
      </c>
      <c r="C63" t="s">
        <v>114</v>
      </c>
      <c r="D63" t="str" cm="1">
        <f t="array" ref="D63">_xlfn.XLOOKUP(1,('26 WR'!A:A=E63)*('26 WR'!B:B=F63),'26 WR'!C:C)</f>
        <v>Quinshon Judkins</v>
      </c>
      <c r="E63" t="s">
        <v>23</v>
      </c>
      <c r="F63">
        <v>22</v>
      </c>
      <c r="G63">
        <v>64</v>
      </c>
      <c r="H63">
        <v>7.9</v>
      </c>
      <c r="I63">
        <v>9.1999999999999993</v>
      </c>
      <c r="J63">
        <v>13.9</v>
      </c>
      <c r="K63">
        <v>10.6</v>
      </c>
      <c r="L63">
        <v>14.8</v>
      </c>
      <c r="M63">
        <v>6.7</v>
      </c>
      <c r="N63">
        <v>12.1</v>
      </c>
      <c r="O63">
        <v>6.3</v>
      </c>
      <c r="P63">
        <v>7.8</v>
      </c>
      <c r="Q63">
        <v>0</v>
      </c>
      <c r="R63">
        <v>5.6</v>
      </c>
      <c r="S63">
        <v>8.1</v>
      </c>
      <c r="T63">
        <v>5.3</v>
      </c>
      <c r="U63">
        <v>28.1</v>
      </c>
      <c r="V63">
        <v>18.2</v>
      </c>
      <c r="W63">
        <v>10.199999999999999</v>
      </c>
      <c r="X63">
        <v>11.5</v>
      </c>
      <c r="Y63">
        <v>176.29999999999995</v>
      </c>
      <c r="Z63">
        <v>10.9</v>
      </c>
      <c r="AA63">
        <v>5</v>
      </c>
      <c r="AB63">
        <v>1</v>
      </c>
      <c r="AC63">
        <v>8</v>
      </c>
      <c r="AD63">
        <v>2</v>
      </c>
      <c r="AE63">
        <v>1</v>
      </c>
      <c r="AF63">
        <v>1</v>
      </c>
      <c r="AG63">
        <v>0</v>
      </c>
      <c r="AH63">
        <v>0.47058823529411764</v>
      </c>
      <c r="AI63">
        <v>0.11764705882352941</v>
      </c>
      <c r="AJ63">
        <v>5.8823529411764705E-2</v>
      </c>
      <c r="AK63">
        <v>5.8823529411764705E-2</v>
      </c>
      <c r="AL63">
        <v>0</v>
      </c>
    </row>
    <row r="64" spans="1:38" x14ac:dyDescent="0.25">
      <c r="A64">
        <v>2025</v>
      </c>
      <c r="B64" t="s">
        <v>120</v>
      </c>
      <c r="C64" t="s">
        <v>110</v>
      </c>
      <c r="D64" t="str" cm="1">
        <f t="array" ref="D64">_xlfn.XLOOKUP(1,('26 WR'!A:A=E64)*('26 WR'!B:B=F64),'26 WR'!C:C)</f>
        <v>D'Andre Swift</v>
      </c>
      <c r="E64" t="s">
        <v>23</v>
      </c>
      <c r="F64">
        <v>23</v>
      </c>
      <c r="G64">
        <v>67</v>
      </c>
      <c r="H64">
        <v>9.5</v>
      </c>
      <c r="I64">
        <v>13.9</v>
      </c>
      <c r="J64">
        <v>10.8</v>
      </c>
      <c r="K64">
        <v>16</v>
      </c>
      <c r="L64">
        <v>0</v>
      </c>
      <c r="M64">
        <v>25.5</v>
      </c>
      <c r="N64">
        <v>20.8</v>
      </c>
      <c r="O64">
        <v>15.1</v>
      </c>
      <c r="P64">
        <v>0</v>
      </c>
      <c r="Q64">
        <v>14.8</v>
      </c>
      <c r="R64">
        <v>9</v>
      </c>
      <c r="S64">
        <v>1.9</v>
      </c>
      <c r="T64">
        <v>20.8</v>
      </c>
      <c r="U64">
        <v>11.2</v>
      </c>
      <c r="V64">
        <v>22.6</v>
      </c>
      <c r="W64">
        <v>9</v>
      </c>
      <c r="X64">
        <v>21.9</v>
      </c>
      <c r="Y64">
        <v>222.79999999999998</v>
      </c>
      <c r="Z64">
        <v>14.3</v>
      </c>
      <c r="AA64">
        <v>6</v>
      </c>
      <c r="AB64">
        <v>1</v>
      </c>
      <c r="AC64">
        <v>11</v>
      </c>
      <c r="AD64">
        <v>7</v>
      </c>
      <c r="AE64">
        <v>5</v>
      </c>
      <c r="AF64">
        <v>1</v>
      </c>
      <c r="AG64">
        <v>0</v>
      </c>
      <c r="AH64">
        <v>0.6470588235294118</v>
      </c>
      <c r="AI64">
        <v>0.4375</v>
      </c>
      <c r="AJ64">
        <v>0.3125</v>
      </c>
      <c r="AK64">
        <v>6.25E-2</v>
      </c>
      <c r="AL64">
        <v>0</v>
      </c>
    </row>
    <row r="65" spans="1:38" x14ac:dyDescent="0.25">
      <c r="A65">
        <v>2025</v>
      </c>
      <c r="B65" t="s">
        <v>122</v>
      </c>
      <c r="C65" t="s">
        <v>85</v>
      </c>
      <c r="D65" t="str" cm="1">
        <f t="array" ref="D65">_xlfn.XLOOKUP(1,('26 WR'!A:A=E65)*('26 WR'!B:B=F65),'26 WR'!C:C)</f>
        <v>David Montgomery</v>
      </c>
      <c r="E65" t="s">
        <v>23</v>
      </c>
      <c r="F65">
        <v>24</v>
      </c>
      <c r="G65">
        <v>69</v>
      </c>
      <c r="H65">
        <v>4.8</v>
      </c>
      <c r="I65">
        <v>3.9</v>
      </c>
      <c r="J65">
        <v>5.8</v>
      </c>
      <c r="K65">
        <v>12.8</v>
      </c>
      <c r="L65">
        <v>8.6</v>
      </c>
      <c r="M65">
        <v>6.1</v>
      </c>
      <c r="N65">
        <v>12.4</v>
      </c>
      <c r="O65">
        <v>5.8</v>
      </c>
      <c r="P65">
        <v>0</v>
      </c>
      <c r="Q65">
        <v>0</v>
      </c>
      <c r="R65">
        <v>0</v>
      </c>
      <c r="S65">
        <v>0</v>
      </c>
      <c r="T65">
        <v>5.3</v>
      </c>
      <c r="U65">
        <v>3</v>
      </c>
      <c r="V65">
        <v>2.1</v>
      </c>
      <c r="W65">
        <v>13.5</v>
      </c>
      <c r="X65">
        <v>3.2</v>
      </c>
      <c r="Y65">
        <v>87.3</v>
      </c>
      <c r="Z65">
        <v>6.7</v>
      </c>
      <c r="AA65">
        <v>6</v>
      </c>
      <c r="AB65">
        <v>1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0.17647058823529413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2025</v>
      </c>
      <c r="B66" t="s">
        <v>127</v>
      </c>
      <c r="C66" t="s">
        <v>37</v>
      </c>
      <c r="D66" t="str" cm="1">
        <f t="array" ref="D66">_xlfn.XLOOKUP(1,('26 WR'!A:A=E66)*('26 WR'!B:B=F66),'26 WR'!C:C)</f>
        <v>Jaylen Warren</v>
      </c>
      <c r="E66" t="s">
        <v>23</v>
      </c>
      <c r="F66">
        <v>25</v>
      </c>
      <c r="G66">
        <v>74</v>
      </c>
      <c r="H66">
        <v>8.3000000000000007</v>
      </c>
      <c r="I66">
        <v>13.1</v>
      </c>
      <c r="J66">
        <v>29.4</v>
      </c>
      <c r="K66">
        <v>1.2</v>
      </c>
      <c r="L66">
        <v>18.2</v>
      </c>
      <c r="M66">
        <v>8.1</v>
      </c>
      <c r="N66">
        <v>5.9</v>
      </c>
      <c r="O66">
        <v>0</v>
      </c>
      <c r="P66">
        <v>11</v>
      </c>
      <c r="Q66">
        <v>10.1</v>
      </c>
      <c r="R66">
        <v>4.7</v>
      </c>
      <c r="S66">
        <v>6.7</v>
      </c>
      <c r="T66">
        <v>12.8</v>
      </c>
      <c r="U66">
        <v>14.3</v>
      </c>
      <c r="V66">
        <v>9.1999999999999993</v>
      </c>
      <c r="W66">
        <v>1.4</v>
      </c>
      <c r="X66">
        <v>6</v>
      </c>
      <c r="Y66">
        <v>160.4</v>
      </c>
      <c r="Z66">
        <v>9.8000000000000007</v>
      </c>
      <c r="AA66">
        <v>6</v>
      </c>
      <c r="AB66">
        <v>1</v>
      </c>
      <c r="AC66">
        <v>7</v>
      </c>
      <c r="AD66">
        <v>2</v>
      </c>
      <c r="AE66">
        <v>1</v>
      </c>
      <c r="AF66">
        <v>1</v>
      </c>
      <c r="AG66">
        <v>0</v>
      </c>
      <c r="AH66">
        <v>0.41176470588235292</v>
      </c>
      <c r="AI66">
        <v>0.11764705882352941</v>
      </c>
      <c r="AJ66">
        <v>5.8823529411764705E-2</v>
      </c>
      <c r="AK66">
        <v>5.8823529411764705E-2</v>
      </c>
      <c r="AL66">
        <v>0</v>
      </c>
    </row>
    <row r="67" spans="1:38" x14ac:dyDescent="0.25">
      <c r="A67">
        <v>2025</v>
      </c>
      <c r="B67" t="s">
        <v>133</v>
      </c>
      <c r="C67" t="s">
        <v>31</v>
      </c>
      <c r="D67" t="str" cm="1">
        <f t="array" ref="D67">_xlfn.XLOOKUP(1,('26 WR'!A:A=E67)*('26 WR'!B:B=F67),'26 WR'!C:C)</f>
        <v>Bhayshul Tuten</v>
      </c>
      <c r="E67" t="s">
        <v>23</v>
      </c>
      <c r="F67">
        <v>26</v>
      </c>
      <c r="G67">
        <v>79</v>
      </c>
      <c r="H67">
        <v>15.7</v>
      </c>
      <c r="I67">
        <v>2.2999999999999998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5</v>
      </c>
      <c r="P67">
        <v>11.8</v>
      </c>
      <c r="Q67">
        <v>15.9</v>
      </c>
      <c r="R67">
        <v>11.1</v>
      </c>
      <c r="S67">
        <v>8.6999999999999993</v>
      </c>
      <c r="T67">
        <v>4.5</v>
      </c>
      <c r="U67">
        <v>7.6</v>
      </c>
      <c r="V67">
        <v>9.5</v>
      </c>
      <c r="W67">
        <v>11.3</v>
      </c>
      <c r="X67">
        <v>15.3</v>
      </c>
      <c r="Y67">
        <v>118.69999999999999</v>
      </c>
      <c r="Z67">
        <v>9.9</v>
      </c>
      <c r="AA67">
        <v>7</v>
      </c>
      <c r="AB67">
        <v>1</v>
      </c>
      <c r="AC67">
        <v>6</v>
      </c>
      <c r="AD67">
        <v>3</v>
      </c>
      <c r="AE67">
        <v>0</v>
      </c>
      <c r="AF67">
        <v>0</v>
      </c>
      <c r="AG67">
        <v>0</v>
      </c>
      <c r="AH67">
        <v>0.35294117647058826</v>
      </c>
      <c r="AI67">
        <v>0.25</v>
      </c>
      <c r="AJ67">
        <v>0</v>
      </c>
      <c r="AK67">
        <v>0</v>
      </c>
      <c r="AL67">
        <v>0</v>
      </c>
    </row>
    <row r="68" spans="1:38" x14ac:dyDescent="0.25">
      <c r="A68">
        <v>2025</v>
      </c>
      <c r="B68" t="s">
        <v>141</v>
      </c>
      <c r="C68" t="s">
        <v>43</v>
      </c>
      <c r="D68" t="str" cm="1">
        <f t="array" ref="D68">_xlfn.XLOOKUP(1,('26 WR'!A:A=E68)*('26 WR'!B:B=F68),'26 WR'!C:C)</f>
        <v>Jadarian Price</v>
      </c>
      <c r="E68" t="s">
        <v>23</v>
      </c>
      <c r="F68">
        <v>27</v>
      </c>
      <c r="G68">
        <v>87</v>
      </c>
      <c r="H68">
        <v>5.5</v>
      </c>
      <c r="I68">
        <v>9.1</v>
      </c>
      <c r="J68">
        <v>5.6</v>
      </c>
      <c r="K68">
        <v>0</v>
      </c>
      <c r="L68">
        <v>0</v>
      </c>
      <c r="M68">
        <v>0.6</v>
      </c>
      <c r="N68">
        <v>10.6</v>
      </c>
      <c r="O68">
        <v>7.3</v>
      </c>
      <c r="P68">
        <v>6.7</v>
      </c>
      <c r="Q68">
        <v>8.1</v>
      </c>
      <c r="R68">
        <v>17.899999999999999</v>
      </c>
      <c r="S68">
        <v>16</v>
      </c>
      <c r="T68">
        <v>4.3</v>
      </c>
      <c r="U68">
        <v>0</v>
      </c>
      <c r="V68">
        <v>24.7</v>
      </c>
      <c r="W68">
        <v>9.8000000000000007</v>
      </c>
      <c r="X68">
        <v>6.7</v>
      </c>
      <c r="Y68">
        <v>132.9</v>
      </c>
      <c r="Z68">
        <v>10.7</v>
      </c>
      <c r="AA68">
        <v>7</v>
      </c>
      <c r="AB68">
        <v>1</v>
      </c>
      <c r="AC68">
        <v>5</v>
      </c>
      <c r="AD68">
        <v>4</v>
      </c>
      <c r="AE68">
        <v>2</v>
      </c>
      <c r="AF68">
        <v>1</v>
      </c>
      <c r="AG68">
        <v>0</v>
      </c>
      <c r="AH68">
        <v>0.29411764705882354</v>
      </c>
      <c r="AI68">
        <v>0.26666666666666666</v>
      </c>
      <c r="AJ68">
        <v>0.13333333333333333</v>
      </c>
      <c r="AK68">
        <v>6.6666666666666666E-2</v>
      </c>
      <c r="AL68">
        <v>0</v>
      </c>
    </row>
    <row r="69" spans="1:38" x14ac:dyDescent="0.25">
      <c r="A69">
        <v>2025</v>
      </c>
      <c r="B69" t="s">
        <v>142</v>
      </c>
      <c r="C69" t="s">
        <v>80</v>
      </c>
      <c r="D69" t="str" cm="1">
        <f t="array" ref="D69">_xlfn.XLOOKUP(1,('26 WR'!A:A=E69)*('26 WR'!B:B=F69),'26 WR'!C:C)</f>
        <v>Chuba Hubbard</v>
      </c>
      <c r="E69" t="s">
        <v>23</v>
      </c>
      <c r="F69">
        <v>28</v>
      </c>
      <c r="G69">
        <v>88</v>
      </c>
      <c r="H69">
        <v>14.2</v>
      </c>
      <c r="I69">
        <v>1.7</v>
      </c>
      <c r="J69">
        <v>10.1</v>
      </c>
      <c r="K69">
        <v>7.7</v>
      </c>
      <c r="L69">
        <v>27</v>
      </c>
      <c r="M69">
        <v>5.8</v>
      </c>
      <c r="N69">
        <v>4.2</v>
      </c>
      <c r="O69">
        <v>2.5</v>
      </c>
      <c r="P69">
        <v>5.0999999999999996</v>
      </c>
      <c r="Q69">
        <v>3</v>
      </c>
      <c r="R69">
        <v>4.3</v>
      </c>
      <c r="S69">
        <v>0</v>
      </c>
      <c r="T69">
        <v>2</v>
      </c>
      <c r="U69">
        <v>3.2</v>
      </c>
      <c r="V69">
        <v>15.6</v>
      </c>
      <c r="W69">
        <v>8.5</v>
      </c>
      <c r="X69">
        <v>22.5</v>
      </c>
      <c r="Y69">
        <v>137.39999999999998</v>
      </c>
      <c r="Z69">
        <v>8.3000000000000007</v>
      </c>
      <c r="AA69">
        <v>7</v>
      </c>
      <c r="AB69">
        <v>1</v>
      </c>
      <c r="AC69">
        <v>5</v>
      </c>
      <c r="AD69">
        <v>3</v>
      </c>
      <c r="AE69">
        <v>2</v>
      </c>
      <c r="AF69">
        <v>1</v>
      </c>
      <c r="AG69">
        <v>0</v>
      </c>
      <c r="AH69">
        <v>0.29411764705882354</v>
      </c>
      <c r="AI69">
        <v>0.17647058823529413</v>
      </c>
      <c r="AJ69">
        <v>0.11764705882352941</v>
      </c>
      <c r="AK69">
        <v>5.8823529411764705E-2</v>
      </c>
      <c r="AL69">
        <v>0</v>
      </c>
    </row>
    <row r="70" spans="1:38" x14ac:dyDescent="0.25">
      <c r="A70">
        <v>2025</v>
      </c>
      <c r="B70" t="s">
        <v>146</v>
      </c>
      <c r="C70" t="s">
        <v>31</v>
      </c>
      <c r="D70" t="str" cm="1">
        <f t="array" ref="D70">_xlfn.XLOOKUP(1,('26 WR'!A:A=E70)*('26 WR'!B:B=F70),'26 WR'!C:C)</f>
        <v>Rhamondre Stevenson</v>
      </c>
      <c r="E70" t="s">
        <v>23</v>
      </c>
      <c r="F70">
        <v>29</v>
      </c>
      <c r="G70">
        <v>92</v>
      </c>
      <c r="H70">
        <v>8.5</v>
      </c>
      <c r="I70">
        <v>5.8</v>
      </c>
      <c r="J70">
        <v>23.6</v>
      </c>
      <c r="K70">
        <v>10.199999999999999</v>
      </c>
      <c r="L70">
        <v>12.6</v>
      </c>
      <c r="M70">
        <v>0</v>
      </c>
      <c r="N70">
        <v>11.7</v>
      </c>
      <c r="O70">
        <v>1.6</v>
      </c>
      <c r="P70">
        <v>4.7</v>
      </c>
      <c r="Q70">
        <v>4.0999999999999996</v>
      </c>
      <c r="R70">
        <v>10.5</v>
      </c>
      <c r="S70">
        <v>4.2</v>
      </c>
      <c r="T70">
        <v>5.8</v>
      </c>
      <c r="U70">
        <v>11.2</v>
      </c>
      <c r="V70">
        <v>2.9</v>
      </c>
      <c r="W70">
        <v>2.1</v>
      </c>
      <c r="X70">
        <v>0</v>
      </c>
      <c r="Y70">
        <v>119.5</v>
      </c>
      <c r="Z70">
        <v>8.1</v>
      </c>
      <c r="AA70">
        <v>8</v>
      </c>
      <c r="AB70">
        <v>1</v>
      </c>
      <c r="AC70">
        <v>6</v>
      </c>
      <c r="AD70">
        <v>1</v>
      </c>
      <c r="AE70">
        <v>1</v>
      </c>
      <c r="AF70">
        <v>0</v>
      </c>
      <c r="AG70">
        <v>0</v>
      </c>
      <c r="AH70">
        <v>0.35294117647058826</v>
      </c>
      <c r="AI70">
        <v>6.25E-2</v>
      </c>
      <c r="AJ70">
        <v>6.25E-2</v>
      </c>
      <c r="AK70">
        <v>0</v>
      </c>
      <c r="AL70">
        <v>0</v>
      </c>
    </row>
    <row r="71" spans="1:38" x14ac:dyDescent="0.25">
      <c r="A71">
        <v>2025</v>
      </c>
      <c r="B71" t="s">
        <v>150</v>
      </c>
      <c r="C71" t="s">
        <v>108</v>
      </c>
      <c r="D71" t="str" cm="1">
        <f t="array" ref="D71">_xlfn.XLOOKUP(1,('26 WR'!A:A=E71)*('26 WR'!B:B=F71),'26 WR'!C:C)</f>
        <v>Tony Pollard</v>
      </c>
      <c r="E71" t="s">
        <v>23</v>
      </c>
      <c r="F71">
        <v>30</v>
      </c>
      <c r="G71">
        <v>96</v>
      </c>
      <c r="H71">
        <v>13.9</v>
      </c>
      <c r="I71">
        <v>17.399999999999999</v>
      </c>
      <c r="J71">
        <v>13.1</v>
      </c>
      <c r="K71">
        <v>0</v>
      </c>
      <c r="L71">
        <v>0</v>
      </c>
      <c r="M71">
        <v>8.3000000000000007</v>
      </c>
      <c r="N71">
        <v>19.8</v>
      </c>
      <c r="O71">
        <v>9.3000000000000007</v>
      </c>
      <c r="P71">
        <v>16.899999999999999</v>
      </c>
      <c r="Q71">
        <v>11.1</v>
      </c>
      <c r="R71">
        <v>8.6999999999999993</v>
      </c>
      <c r="S71">
        <v>12.8</v>
      </c>
      <c r="T71">
        <v>12.4</v>
      </c>
      <c r="U71">
        <v>15.2</v>
      </c>
      <c r="V71">
        <v>7.8</v>
      </c>
      <c r="W71">
        <v>29.1</v>
      </c>
      <c r="X71">
        <v>6.4</v>
      </c>
      <c r="Y71">
        <v>202.2</v>
      </c>
      <c r="Z71">
        <v>13.6</v>
      </c>
      <c r="AA71">
        <v>8</v>
      </c>
      <c r="AB71">
        <v>1</v>
      </c>
      <c r="AC71">
        <v>11</v>
      </c>
      <c r="AD71">
        <v>5</v>
      </c>
      <c r="AE71">
        <v>1</v>
      </c>
      <c r="AF71">
        <v>1</v>
      </c>
      <c r="AG71">
        <v>0</v>
      </c>
      <c r="AH71">
        <v>0.6470588235294118</v>
      </c>
      <c r="AI71">
        <v>0.3125</v>
      </c>
      <c r="AJ71">
        <v>6.25E-2</v>
      </c>
      <c r="AK71">
        <v>6.25E-2</v>
      </c>
      <c r="AL71">
        <v>0</v>
      </c>
    </row>
    <row r="72" spans="1:38" x14ac:dyDescent="0.25">
      <c r="A72">
        <v>2025</v>
      </c>
      <c r="B72" t="s">
        <v>153</v>
      </c>
      <c r="C72" t="s">
        <v>74</v>
      </c>
      <c r="D72" t="str" cm="1">
        <f t="array" ref="D72">_xlfn.XLOOKUP(1,('26 WR'!A:A=E72)*('26 WR'!B:B=F72),'26 WR'!C:C)</f>
        <v>RJ Harvey</v>
      </c>
      <c r="E72" t="s">
        <v>23</v>
      </c>
      <c r="F72">
        <v>31</v>
      </c>
      <c r="G72">
        <v>99</v>
      </c>
      <c r="H72">
        <v>10.7</v>
      </c>
      <c r="I72">
        <v>1</v>
      </c>
      <c r="J72">
        <v>0</v>
      </c>
      <c r="K72">
        <v>12.4</v>
      </c>
      <c r="L72">
        <v>11.8</v>
      </c>
      <c r="M72">
        <v>4.7</v>
      </c>
      <c r="N72">
        <v>19.5</v>
      </c>
      <c r="O72">
        <v>0</v>
      </c>
      <c r="P72">
        <v>5.6</v>
      </c>
      <c r="Q72">
        <v>14.3</v>
      </c>
      <c r="R72">
        <v>6.7</v>
      </c>
      <c r="S72">
        <v>9.5</v>
      </c>
      <c r="T72">
        <v>11.2</v>
      </c>
      <c r="U72">
        <v>8.6</v>
      </c>
      <c r="V72">
        <v>3.1</v>
      </c>
      <c r="W72">
        <v>17.399999999999999</v>
      </c>
      <c r="X72">
        <v>26.2</v>
      </c>
      <c r="Y72">
        <v>162.69999999999999</v>
      </c>
      <c r="Z72">
        <v>11.3</v>
      </c>
      <c r="AA72">
        <v>8</v>
      </c>
      <c r="AB72">
        <v>1</v>
      </c>
      <c r="AC72">
        <v>9</v>
      </c>
      <c r="AD72">
        <v>4</v>
      </c>
      <c r="AE72">
        <v>1</v>
      </c>
      <c r="AF72">
        <v>1</v>
      </c>
      <c r="AG72">
        <v>0</v>
      </c>
      <c r="AH72">
        <v>0.52941176470588236</v>
      </c>
      <c r="AI72">
        <v>0.25</v>
      </c>
      <c r="AJ72">
        <v>6.25E-2</v>
      </c>
      <c r="AK72">
        <v>6.25E-2</v>
      </c>
      <c r="AL72">
        <v>0</v>
      </c>
    </row>
    <row r="73" spans="1:38" x14ac:dyDescent="0.25">
      <c r="A73">
        <v>2025</v>
      </c>
      <c r="B73" t="s">
        <v>159</v>
      </c>
      <c r="C73" t="s">
        <v>51</v>
      </c>
      <c r="D73" t="str" cm="1">
        <f t="array" ref="D73">_xlfn.XLOOKUP(1,('26 WR'!A:A=E73)*('26 WR'!B:B=F73),'26 WR'!C:C)</f>
        <v>Rico Dowdle</v>
      </c>
      <c r="E73" t="s">
        <v>23</v>
      </c>
      <c r="F73">
        <v>32</v>
      </c>
      <c r="G73">
        <v>105</v>
      </c>
      <c r="H73">
        <v>18.600000000000001</v>
      </c>
      <c r="I73">
        <v>16.899999999999999</v>
      </c>
      <c r="J73">
        <v>11.6</v>
      </c>
      <c r="K73">
        <v>19.5</v>
      </c>
      <c r="L73">
        <v>8.8000000000000007</v>
      </c>
      <c r="M73">
        <v>9.5</v>
      </c>
      <c r="N73">
        <v>6.5</v>
      </c>
      <c r="O73">
        <v>0</v>
      </c>
      <c r="P73">
        <v>16.5</v>
      </c>
      <c r="Q73">
        <v>15.7</v>
      </c>
      <c r="R73">
        <v>19.3</v>
      </c>
      <c r="S73">
        <v>20.6</v>
      </c>
      <c r="T73">
        <v>5.0999999999999996</v>
      </c>
      <c r="U73">
        <v>21.2</v>
      </c>
      <c r="V73">
        <v>31.5</v>
      </c>
      <c r="W73">
        <v>16.600000000000001</v>
      </c>
      <c r="X73">
        <v>11.2</v>
      </c>
      <c r="Y73">
        <v>249.09999999999997</v>
      </c>
      <c r="Z73">
        <v>14.9</v>
      </c>
      <c r="AA73">
        <v>9</v>
      </c>
      <c r="AB73">
        <v>1</v>
      </c>
      <c r="AC73">
        <v>12</v>
      </c>
      <c r="AD73">
        <v>10</v>
      </c>
      <c r="AE73">
        <v>3</v>
      </c>
      <c r="AF73">
        <v>1</v>
      </c>
      <c r="AG73">
        <v>1</v>
      </c>
      <c r="AH73">
        <v>0.70588235294117652</v>
      </c>
      <c r="AI73">
        <v>0.58823529411764708</v>
      </c>
      <c r="AJ73">
        <v>0.17647058823529413</v>
      </c>
      <c r="AK73">
        <v>5.8823529411764705E-2</v>
      </c>
      <c r="AL73">
        <v>5.8823529411764705E-2</v>
      </c>
    </row>
    <row r="74" spans="1:38" x14ac:dyDescent="0.25">
      <c r="A74">
        <v>2025</v>
      </c>
      <c r="B74" t="s">
        <v>160</v>
      </c>
      <c r="C74" t="s">
        <v>98</v>
      </c>
      <c r="D74" t="str" cm="1">
        <f t="array" ref="D74">_xlfn.XLOOKUP(1,('26 WR'!A:A=E74)*('26 WR'!B:B=F74),'26 WR'!C:C)</f>
        <v>Kenny Gainwell</v>
      </c>
      <c r="E74" t="s">
        <v>23</v>
      </c>
      <c r="F74">
        <v>33</v>
      </c>
      <c r="G74">
        <v>106</v>
      </c>
      <c r="H74">
        <v>14.8</v>
      </c>
      <c r="I74">
        <v>15.5</v>
      </c>
      <c r="J74">
        <v>15.3</v>
      </c>
      <c r="K74">
        <v>11.5</v>
      </c>
      <c r="L74">
        <v>15.4</v>
      </c>
      <c r="M74">
        <v>4</v>
      </c>
      <c r="N74">
        <v>9</v>
      </c>
      <c r="O74">
        <v>14.1</v>
      </c>
      <c r="P74">
        <v>6.9</v>
      </c>
      <c r="Q74">
        <v>9.4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115.9</v>
      </c>
      <c r="Z74">
        <v>11.6</v>
      </c>
      <c r="AA74">
        <v>9</v>
      </c>
      <c r="AB74">
        <v>1</v>
      </c>
      <c r="AC74">
        <v>6</v>
      </c>
      <c r="AD74">
        <v>3</v>
      </c>
      <c r="AE74">
        <v>0</v>
      </c>
      <c r="AF74">
        <v>0</v>
      </c>
      <c r="AG74">
        <v>0</v>
      </c>
      <c r="AH74">
        <v>0.35294117647058826</v>
      </c>
      <c r="AI74">
        <v>0.3</v>
      </c>
      <c r="AJ74">
        <v>0</v>
      </c>
      <c r="AK74">
        <v>0</v>
      </c>
      <c r="AL74">
        <v>0</v>
      </c>
    </row>
    <row r="75" spans="1:38" x14ac:dyDescent="0.25">
      <c r="A75">
        <v>2025</v>
      </c>
      <c r="B75" t="s">
        <v>165</v>
      </c>
      <c r="C75" t="s">
        <v>39</v>
      </c>
      <c r="D75" t="str" cm="1">
        <f t="array" ref="D75">_xlfn.XLOOKUP(1,('26 WR'!A:A=E75)*('26 WR'!B:B=F75),'26 WR'!C:C)</f>
        <v>Kyle Monangai</v>
      </c>
      <c r="E75" t="s">
        <v>23</v>
      </c>
      <c r="F75">
        <v>34</v>
      </c>
      <c r="G75">
        <v>111</v>
      </c>
      <c r="H75">
        <v>6</v>
      </c>
      <c r="I75">
        <v>15.2</v>
      </c>
      <c r="J75">
        <v>7</v>
      </c>
      <c r="K75">
        <v>8.1999999999999993</v>
      </c>
      <c r="L75">
        <v>12.1</v>
      </c>
      <c r="M75">
        <v>0</v>
      </c>
      <c r="N75">
        <v>2.1</v>
      </c>
      <c r="O75">
        <v>8.9</v>
      </c>
      <c r="P75">
        <v>3.4</v>
      </c>
      <c r="Q75">
        <v>6.2</v>
      </c>
      <c r="R75">
        <v>1.7</v>
      </c>
      <c r="S75">
        <v>2.5</v>
      </c>
      <c r="T75">
        <v>9.4</v>
      </c>
      <c r="U75">
        <v>0.3</v>
      </c>
      <c r="V75">
        <v>0</v>
      </c>
      <c r="W75">
        <v>5.2</v>
      </c>
      <c r="X75">
        <v>0.1</v>
      </c>
      <c r="Y75">
        <v>88.3</v>
      </c>
      <c r="Z75">
        <v>5.9</v>
      </c>
      <c r="AA75">
        <v>10</v>
      </c>
      <c r="AB75">
        <v>1</v>
      </c>
      <c r="AC75">
        <v>2</v>
      </c>
      <c r="AD75">
        <v>1</v>
      </c>
      <c r="AE75">
        <v>0</v>
      </c>
      <c r="AF75">
        <v>0</v>
      </c>
      <c r="AG75">
        <v>0</v>
      </c>
      <c r="AH75">
        <v>0.11764705882352941</v>
      </c>
      <c r="AI75">
        <v>6.6666666666666666E-2</v>
      </c>
      <c r="AJ75">
        <v>0</v>
      </c>
      <c r="AK75">
        <v>0</v>
      </c>
      <c r="AL75">
        <v>0</v>
      </c>
    </row>
    <row r="76" spans="1:38" x14ac:dyDescent="0.25">
      <c r="A76">
        <v>2025</v>
      </c>
      <c r="B76" t="s">
        <v>169</v>
      </c>
      <c r="C76" t="s">
        <v>35</v>
      </c>
      <c r="D76" t="str" cm="1">
        <f t="array" ref="D76">_xlfn.XLOOKUP(1,('26 WR'!A:A=E76)*('26 WR'!B:B=F76),'26 WR'!C:C)</f>
        <v>J.K. Dobbins</v>
      </c>
      <c r="E76" t="s">
        <v>23</v>
      </c>
      <c r="F76">
        <v>35</v>
      </c>
      <c r="G76">
        <v>115</v>
      </c>
      <c r="H76">
        <v>20.399999999999999</v>
      </c>
      <c r="I76">
        <v>25</v>
      </c>
      <c r="J76">
        <v>12.2</v>
      </c>
      <c r="K76">
        <v>19</v>
      </c>
      <c r="L76">
        <v>26.9</v>
      </c>
      <c r="M76">
        <v>8.4</v>
      </c>
      <c r="N76">
        <v>18.8</v>
      </c>
      <c r="O76">
        <v>17.899999999999999</v>
      </c>
      <c r="P76">
        <v>7.3</v>
      </c>
      <c r="Q76">
        <v>0</v>
      </c>
      <c r="R76">
        <v>10.3</v>
      </c>
      <c r="S76">
        <v>12.1</v>
      </c>
      <c r="T76">
        <v>17</v>
      </c>
      <c r="U76">
        <v>14.7</v>
      </c>
      <c r="V76">
        <v>15.1</v>
      </c>
      <c r="W76">
        <v>6.3</v>
      </c>
      <c r="X76">
        <v>11.4</v>
      </c>
      <c r="Y76">
        <v>242.80000000000004</v>
      </c>
      <c r="Z76">
        <v>15.2</v>
      </c>
      <c r="AA76">
        <v>9</v>
      </c>
      <c r="AB76">
        <v>1</v>
      </c>
      <c r="AC76">
        <v>13</v>
      </c>
      <c r="AD76">
        <v>8</v>
      </c>
      <c r="AE76">
        <v>3</v>
      </c>
      <c r="AF76">
        <v>1</v>
      </c>
      <c r="AG76">
        <v>0</v>
      </c>
      <c r="AH76">
        <v>0.76470588235294112</v>
      </c>
      <c r="AI76">
        <v>0.5</v>
      </c>
      <c r="AJ76">
        <v>0.1875</v>
      </c>
      <c r="AK76">
        <v>6.25E-2</v>
      </c>
      <c r="AL76">
        <v>0</v>
      </c>
    </row>
    <row r="77" spans="1:38" x14ac:dyDescent="0.25">
      <c r="A77">
        <v>2025</v>
      </c>
      <c r="B77" t="s">
        <v>180</v>
      </c>
      <c r="C77" t="s">
        <v>43</v>
      </c>
      <c r="D77" t="str" cm="1">
        <f t="array" ref="D77">_xlfn.XLOOKUP(1,('26 WR'!A:A=E77)*('26 WR'!B:B=F77),'26 WR'!C:C)</f>
        <v>Aaron Jones Sr.</v>
      </c>
      <c r="E77" t="s">
        <v>23</v>
      </c>
      <c r="F77">
        <v>36</v>
      </c>
      <c r="G77">
        <v>126</v>
      </c>
      <c r="H77">
        <v>2.9</v>
      </c>
      <c r="I77">
        <v>13.9</v>
      </c>
      <c r="J77">
        <v>24.1</v>
      </c>
      <c r="K77">
        <v>13</v>
      </c>
      <c r="L77">
        <v>14.4</v>
      </c>
      <c r="M77">
        <v>31</v>
      </c>
      <c r="N77">
        <v>18.399999999999999</v>
      </c>
      <c r="O77">
        <v>10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127.70000000000002</v>
      </c>
      <c r="Z77">
        <v>16</v>
      </c>
      <c r="AA77">
        <v>10</v>
      </c>
      <c r="AB77">
        <v>1</v>
      </c>
      <c r="AC77">
        <v>6</v>
      </c>
      <c r="AD77">
        <v>3</v>
      </c>
      <c r="AE77">
        <v>2</v>
      </c>
      <c r="AF77">
        <v>1</v>
      </c>
      <c r="AG77">
        <v>1</v>
      </c>
      <c r="AH77">
        <v>0.35294117647058826</v>
      </c>
      <c r="AI77">
        <v>0.375</v>
      </c>
      <c r="AJ77">
        <v>0.25</v>
      </c>
      <c r="AK77">
        <v>0.125</v>
      </c>
      <c r="AL77">
        <v>0.125</v>
      </c>
    </row>
    <row r="78" spans="1:38" x14ac:dyDescent="0.25">
      <c r="A78">
        <v>2025</v>
      </c>
      <c r="B78" t="s">
        <v>186</v>
      </c>
      <c r="C78" t="s">
        <v>132</v>
      </c>
      <c r="D78" t="str" cm="1">
        <f t="array" ref="D78">_xlfn.XLOOKUP(1,('26 WR'!A:A=E78)*('26 WR'!B:B=F78),'26 WR'!C:C)</f>
        <v>Blake Corum</v>
      </c>
      <c r="E78" t="s">
        <v>23</v>
      </c>
      <c r="F78">
        <v>37</v>
      </c>
      <c r="G78">
        <v>132</v>
      </c>
      <c r="H78">
        <v>17.3</v>
      </c>
      <c r="I78">
        <v>10.9</v>
      </c>
      <c r="J78">
        <v>0.2</v>
      </c>
      <c r="K78">
        <v>0.2</v>
      </c>
      <c r="L78">
        <v>1.2</v>
      </c>
      <c r="M78">
        <v>4.4000000000000004</v>
      </c>
      <c r="N78">
        <v>2.7</v>
      </c>
      <c r="O78">
        <v>7.9</v>
      </c>
      <c r="P78">
        <v>0</v>
      </c>
      <c r="Q78">
        <v>0.9</v>
      </c>
      <c r="R78">
        <v>1.9</v>
      </c>
      <c r="S78">
        <v>16.2</v>
      </c>
      <c r="T78">
        <v>2.2999999999999998</v>
      </c>
      <c r="U78">
        <v>9.8000000000000007</v>
      </c>
      <c r="V78">
        <v>0</v>
      </c>
      <c r="W78">
        <v>0</v>
      </c>
      <c r="X78">
        <v>5.7</v>
      </c>
      <c r="Y78">
        <v>81.599999999999994</v>
      </c>
      <c r="Z78">
        <v>5.8</v>
      </c>
      <c r="AA78">
        <v>13</v>
      </c>
      <c r="AB78">
        <v>1</v>
      </c>
      <c r="AC78">
        <v>3</v>
      </c>
      <c r="AD78">
        <v>2</v>
      </c>
      <c r="AE78">
        <v>0</v>
      </c>
      <c r="AF78">
        <v>0</v>
      </c>
      <c r="AG78">
        <v>0</v>
      </c>
      <c r="AH78">
        <v>0.17647058823529413</v>
      </c>
      <c r="AI78">
        <v>0.13333333333333333</v>
      </c>
      <c r="AJ78">
        <v>0</v>
      </c>
      <c r="AK78">
        <v>0</v>
      </c>
      <c r="AL78">
        <v>0</v>
      </c>
    </row>
    <row r="79" spans="1:38" x14ac:dyDescent="0.25">
      <c r="A79">
        <v>2025</v>
      </c>
      <c r="B79" t="s">
        <v>193</v>
      </c>
      <c r="C79" t="s">
        <v>65</v>
      </c>
      <c r="D79" t="str" cm="1">
        <f t="array" ref="D79">_xlfn.XLOOKUP(1,('26 WR'!A:A=E79)*('26 WR'!B:B=F79),'26 WR'!C:C)</f>
        <v>Rachaad White</v>
      </c>
      <c r="E79" t="s">
        <v>23</v>
      </c>
      <c r="F79">
        <v>38</v>
      </c>
      <c r="G79">
        <v>139</v>
      </c>
      <c r="H79">
        <v>2</v>
      </c>
      <c r="I79">
        <v>6.8</v>
      </c>
      <c r="J79">
        <v>2.8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11.600000000000001</v>
      </c>
      <c r="Z79">
        <v>3.9</v>
      </c>
      <c r="AA79">
        <v>20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2025</v>
      </c>
      <c r="B80" t="s">
        <v>195</v>
      </c>
      <c r="C80" t="s">
        <v>68</v>
      </c>
      <c r="D80" t="str" cm="1">
        <f t="array" ref="D80">_xlfn.XLOOKUP(1,('26 WR'!A:A=E80)*('26 WR'!B:B=F80),'26 WR'!C:C)</f>
        <v>Jacory Croskey-Merritt</v>
      </c>
      <c r="E80" t="s">
        <v>23</v>
      </c>
      <c r="F80">
        <v>39</v>
      </c>
      <c r="G80">
        <v>141</v>
      </c>
      <c r="H80">
        <v>1.1000000000000001</v>
      </c>
      <c r="I80">
        <v>2.4</v>
      </c>
      <c r="J80">
        <v>0</v>
      </c>
      <c r="K80">
        <v>0.3</v>
      </c>
      <c r="L80">
        <v>0.1</v>
      </c>
      <c r="M80">
        <v>9.9</v>
      </c>
      <c r="N80">
        <v>0</v>
      </c>
      <c r="O80">
        <v>1.6</v>
      </c>
      <c r="P80">
        <v>0</v>
      </c>
      <c r="Q80">
        <v>0.8</v>
      </c>
      <c r="R80">
        <v>0</v>
      </c>
      <c r="S80">
        <v>6</v>
      </c>
      <c r="T80">
        <v>6.2</v>
      </c>
      <c r="U80">
        <v>0</v>
      </c>
      <c r="V80">
        <v>2.2999999999999998</v>
      </c>
      <c r="W80">
        <v>5.4</v>
      </c>
      <c r="X80">
        <v>2.6</v>
      </c>
      <c r="Y80">
        <v>38.700000000000003</v>
      </c>
      <c r="Z80">
        <v>3.8</v>
      </c>
      <c r="AA80">
        <v>14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5.8823529411764705E-2</v>
      </c>
      <c r="AI80">
        <v>5.8823529411764705E-2</v>
      </c>
      <c r="AJ80">
        <v>5.8823529411764705E-2</v>
      </c>
      <c r="AK80">
        <v>5.8823529411764705E-2</v>
      </c>
      <c r="AL80">
        <v>0</v>
      </c>
    </row>
    <row r="81" spans="1:38" x14ac:dyDescent="0.25">
      <c r="A81">
        <v>2025</v>
      </c>
      <c r="B81" t="s">
        <v>198</v>
      </c>
      <c r="C81" t="s">
        <v>90</v>
      </c>
      <c r="D81" t="str" cm="1">
        <f t="array" ref="D81">_xlfn.XLOOKUP(1,('26 WR'!A:A=E81)*('26 WR'!B:B=F81),'26 WR'!C:C)</f>
        <v>Tyrone Tracy Jr.</v>
      </c>
      <c r="E81" t="s">
        <v>23</v>
      </c>
      <c r="F81">
        <v>40</v>
      </c>
      <c r="G81">
        <v>144</v>
      </c>
      <c r="H81">
        <v>6.9</v>
      </c>
      <c r="I81">
        <v>1.1000000000000001</v>
      </c>
      <c r="J81">
        <v>6.7</v>
      </c>
      <c r="K81">
        <v>0.6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15.299999999999999</v>
      </c>
      <c r="Z81">
        <v>3.8</v>
      </c>
      <c r="AA81">
        <v>20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2025</v>
      </c>
      <c r="B82" t="s">
        <v>199</v>
      </c>
      <c r="C82" t="s">
        <v>132</v>
      </c>
      <c r="D82" t="str" cm="1">
        <f t="array" ref="D82">_xlfn.XLOOKUP(1,('26 WR'!A:A=E82)*('26 WR'!B:B=F82),'26 WR'!C:C)</f>
        <v>Jordan Mason</v>
      </c>
      <c r="E82" t="s">
        <v>23</v>
      </c>
      <c r="F82">
        <v>41</v>
      </c>
      <c r="G82">
        <v>145</v>
      </c>
      <c r="H82">
        <v>1.5</v>
      </c>
      <c r="I82">
        <v>10.4</v>
      </c>
      <c r="J82">
        <v>5</v>
      </c>
      <c r="K82">
        <v>1.3</v>
      </c>
      <c r="L82">
        <v>5.8</v>
      </c>
      <c r="M82">
        <v>8</v>
      </c>
      <c r="N82">
        <v>3</v>
      </c>
      <c r="O82">
        <v>0.9</v>
      </c>
      <c r="P82">
        <v>0</v>
      </c>
      <c r="Q82">
        <v>0.1</v>
      </c>
      <c r="R82">
        <v>0.2</v>
      </c>
      <c r="S82">
        <v>0.3</v>
      </c>
      <c r="T82">
        <v>4.7</v>
      </c>
      <c r="U82">
        <v>3</v>
      </c>
      <c r="V82">
        <v>0</v>
      </c>
      <c r="W82">
        <v>0</v>
      </c>
      <c r="X82">
        <v>0</v>
      </c>
      <c r="Y82">
        <v>44.2</v>
      </c>
      <c r="Z82">
        <v>3.4</v>
      </c>
      <c r="AA82">
        <v>20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5.8823529411764705E-2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2025</v>
      </c>
      <c r="B83" t="s">
        <v>203</v>
      </c>
      <c r="C83" t="s">
        <v>57</v>
      </c>
      <c r="D83" t="str" cm="1">
        <f t="array" ref="D83">_xlfn.XLOOKUP(1,('26 WR'!A:A=E83)*('26 WR'!B:B=F83),'26 WR'!C:C)</f>
        <v>Woody Marks</v>
      </c>
      <c r="E83" t="s">
        <v>23</v>
      </c>
      <c r="F83">
        <v>42</v>
      </c>
      <c r="G83">
        <v>149</v>
      </c>
      <c r="H83">
        <v>2.6</v>
      </c>
      <c r="I83">
        <v>14.6</v>
      </c>
      <c r="J83">
        <v>2.4</v>
      </c>
      <c r="K83">
        <v>8.6</v>
      </c>
      <c r="L83">
        <v>23.1</v>
      </c>
      <c r="M83">
        <v>17.600000000000001</v>
      </c>
      <c r="N83">
        <v>8.4</v>
      </c>
      <c r="O83">
        <v>8.1</v>
      </c>
      <c r="P83">
        <v>0</v>
      </c>
      <c r="Q83">
        <v>10.4</v>
      </c>
      <c r="R83">
        <v>8.1999999999999993</v>
      </c>
      <c r="S83">
        <v>5.2</v>
      </c>
      <c r="T83">
        <v>5.9</v>
      </c>
      <c r="U83">
        <v>6.5</v>
      </c>
      <c r="V83">
        <v>3.6</v>
      </c>
      <c r="W83">
        <v>8</v>
      </c>
      <c r="X83">
        <v>3.7</v>
      </c>
      <c r="Y83">
        <v>136.9</v>
      </c>
      <c r="Z83">
        <v>8.4</v>
      </c>
      <c r="AA83">
        <v>14</v>
      </c>
      <c r="AB83">
        <v>1</v>
      </c>
      <c r="AC83">
        <v>4</v>
      </c>
      <c r="AD83">
        <v>2</v>
      </c>
      <c r="AE83">
        <v>1</v>
      </c>
      <c r="AF83">
        <v>0</v>
      </c>
      <c r="AG83">
        <v>0</v>
      </c>
      <c r="AH83">
        <v>0.23529411764705882</v>
      </c>
      <c r="AI83">
        <v>0.11764705882352941</v>
      </c>
      <c r="AJ83">
        <v>5.8823529411764705E-2</v>
      </c>
      <c r="AK83">
        <v>0</v>
      </c>
      <c r="AL83">
        <v>0</v>
      </c>
    </row>
    <row r="84" spans="1:38" x14ac:dyDescent="0.25">
      <c r="A84">
        <v>2025</v>
      </c>
      <c r="B84" t="s">
        <v>207</v>
      </c>
      <c r="C84" t="s">
        <v>24</v>
      </c>
      <c r="D84" t="str" cm="1">
        <f t="array" ref="D84">_xlfn.XLOOKUP(1,('26 WR'!A:A=E84)*('26 WR'!B:B=F84),'26 WR'!C:C)</f>
        <v>Tyler Allgeier</v>
      </c>
      <c r="E84" t="s">
        <v>23</v>
      </c>
      <c r="F84">
        <v>43</v>
      </c>
      <c r="G84">
        <v>153</v>
      </c>
      <c r="H84">
        <v>2.4</v>
      </c>
      <c r="I84">
        <v>15</v>
      </c>
      <c r="J84">
        <v>1.4</v>
      </c>
      <c r="K84">
        <v>11.1</v>
      </c>
      <c r="L84">
        <v>0</v>
      </c>
      <c r="M84">
        <v>10.8</v>
      </c>
      <c r="N84">
        <v>1.6</v>
      </c>
      <c r="O84">
        <v>9.4</v>
      </c>
      <c r="P84">
        <v>0.6</v>
      </c>
      <c r="Q84">
        <v>17.7</v>
      </c>
      <c r="R84">
        <v>9.6</v>
      </c>
      <c r="S84">
        <v>5.9</v>
      </c>
      <c r="T84">
        <v>13.5</v>
      </c>
      <c r="U84">
        <v>8.6999999999999993</v>
      </c>
      <c r="V84">
        <v>1.8</v>
      </c>
      <c r="W84">
        <v>8.3000000000000007</v>
      </c>
      <c r="X84">
        <v>2.2999999999999998</v>
      </c>
      <c r="Y84">
        <v>120.1</v>
      </c>
      <c r="Z84">
        <v>7.2</v>
      </c>
      <c r="AA84">
        <v>14</v>
      </c>
      <c r="AB84">
        <v>1</v>
      </c>
      <c r="AC84">
        <v>5</v>
      </c>
      <c r="AD84">
        <v>1</v>
      </c>
      <c r="AE84">
        <v>0</v>
      </c>
      <c r="AF84">
        <v>0</v>
      </c>
      <c r="AG84">
        <v>0</v>
      </c>
      <c r="AH84">
        <v>0.29411764705882354</v>
      </c>
      <c r="AI84">
        <v>5.8823529411764705E-2</v>
      </c>
      <c r="AJ84">
        <v>0</v>
      </c>
      <c r="AK84">
        <v>0</v>
      </c>
      <c r="AL84">
        <v>0</v>
      </c>
    </row>
    <row r="85" spans="1:38" x14ac:dyDescent="0.25">
      <c r="A85">
        <v>2025</v>
      </c>
      <c r="B85" t="s">
        <v>211</v>
      </c>
      <c r="C85" t="s">
        <v>39</v>
      </c>
      <c r="D85" t="str" cm="1">
        <f t="array" ref="D85">_xlfn.XLOOKUP(1,('26 WR'!A:A=E85)*('26 WR'!B:B=F85),'26 WR'!C:C)</f>
        <v>Zach Charbonnet</v>
      </c>
      <c r="E85" t="s">
        <v>23</v>
      </c>
      <c r="F85">
        <v>44</v>
      </c>
      <c r="G85">
        <v>157</v>
      </c>
      <c r="H85">
        <v>0.3</v>
      </c>
      <c r="I85">
        <v>6.1</v>
      </c>
      <c r="J85">
        <v>4.5999999999999996</v>
      </c>
      <c r="K85">
        <v>27.9</v>
      </c>
      <c r="L85">
        <v>2.4</v>
      </c>
      <c r="M85">
        <v>0</v>
      </c>
      <c r="N85">
        <v>12.5</v>
      </c>
      <c r="O85">
        <v>15.1</v>
      </c>
      <c r="P85">
        <v>2.7</v>
      </c>
      <c r="Q85">
        <v>16.100000000000001</v>
      </c>
      <c r="R85">
        <v>6.1</v>
      </c>
      <c r="S85">
        <v>7.9</v>
      </c>
      <c r="T85">
        <v>7.7</v>
      </c>
      <c r="U85">
        <v>15.6</v>
      </c>
      <c r="V85">
        <v>10.8</v>
      </c>
      <c r="W85">
        <v>0</v>
      </c>
      <c r="X85">
        <v>8.5</v>
      </c>
      <c r="Y85">
        <v>144.29999999999998</v>
      </c>
      <c r="Z85">
        <v>9.4</v>
      </c>
      <c r="AA85">
        <v>15</v>
      </c>
      <c r="AB85">
        <v>1</v>
      </c>
      <c r="AC85">
        <v>6</v>
      </c>
      <c r="AD85">
        <v>4</v>
      </c>
      <c r="AE85">
        <v>1</v>
      </c>
      <c r="AF85">
        <v>1</v>
      </c>
      <c r="AG85">
        <v>0</v>
      </c>
      <c r="AH85">
        <v>0.35294117647058826</v>
      </c>
      <c r="AI85">
        <v>0.25</v>
      </c>
      <c r="AJ85">
        <v>6.25E-2</v>
      </c>
      <c r="AK85">
        <v>6.25E-2</v>
      </c>
      <c r="AL85">
        <v>0</v>
      </c>
    </row>
    <row r="86" spans="1:38" x14ac:dyDescent="0.25">
      <c r="A86">
        <v>2025</v>
      </c>
      <c r="B86" t="s">
        <v>212</v>
      </c>
      <c r="C86" t="s">
        <v>92</v>
      </c>
      <c r="D86" t="str" cm="1">
        <f t="array" ref="D86">_xlfn.XLOOKUP(1,('26 WR'!A:A=E86)*('26 WR'!B:B=F86),'26 WR'!C:C)</f>
        <v>Tyjae Spears</v>
      </c>
      <c r="E86" t="s">
        <v>23</v>
      </c>
      <c r="F86">
        <v>45</v>
      </c>
      <c r="G86">
        <v>158</v>
      </c>
      <c r="H86">
        <v>3.6</v>
      </c>
      <c r="I86">
        <v>2.9</v>
      </c>
      <c r="J86">
        <v>10.8</v>
      </c>
      <c r="K86">
        <v>4</v>
      </c>
      <c r="L86">
        <v>32.4</v>
      </c>
      <c r="M86">
        <v>33.9</v>
      </c>
      <c r="N86">
        <v>10.6</v>
      </c>
      <c r="O86">
        <v>5.4</v>
      </c>
      <c r="P86">
        <v>28.1</v>
      </c>
      <c r="Q86">
        <v>15.3</v>
      </c>
      <c r="R86">
        <v>15</v>
      </c>
      <c r="S86">
        <v>11.4</v>
      </c>
      <c r="T86">
        <v>9.9</v>
      </c>
      <c r="U86">
        <v>0</v>
      </c>
      <c r="V86">
        <v>12.4</v>
      </c>
      <c r="W86">
        <v>8.3000000000000007</v>
      </c>
      <c r="X86">
        <v>9.3000000000000007</v>
      </c>
      <c r="Y86">
        <v>213.30000000000004</v>
      </c>
      <c r="Z86">
        <v>12.7</v>
      </c>
      <c r="AA86">
        <v>15</v>
      </c>
      <c r="AB86">
        <v>1</v>
      </c>
      <c r="AC86">
        <v>9</v>
      </c>
      <c r="AD86">
        <v>4</v>
      </c>
      <c r="AE86">
        <v>3</v>
      </c>
      <c r="AF86">
        <v>3</v>
      </c>
      <c r="AG86">
        <v>2</v>
      </c>
      <c r="AH86">
        <v>0.52941176470588236</v>
      </c>
      <c r="AI86">
        <v>0.23529411764705882</v>
      </c>
      <c r="AJ86">
        <v>0.17647058823529413</v>
      </c>
      <c r="AK86">
        <v>0.17647058823529413</v>
      </c>
      <c r="AL86">
        <v>0.11764705882352941</v>
      </c>
    </row>
    <row r="87" spans="1:38" x14ac:dyDescent="0.25">
      <c r="A87">
        <v>2025</v>
      </c>
      <c r="B87" t="s">
        <v>217</v>
      </c>
      <c r="C87" t="s">
        <v>33</v>
      </c>
      <c r="D87" t="str" cm="1">
        <f t="array" ref="D87">_xlfn.XLOOKUP(1,('26 WR'!A:A=E87)*('26 WR'!B:B=F87),'26 WR'!C:C)</f>
        <v>Jonathon Brooks</v>
      </c>
      <c r="E87" t="s">
        <v>23</v>
      </c>
      <c r="F87">
        <v>46</v>
      </c>
      <c r="G87">
        <v>163</v>
      </c>
      <c r="H87">
        <v>2.6</v>
      </c>
      <c r="I87">
        <v>0</v>
      </c>
      <c r="J87">
        <v>0</v>
      </c>
      <c r="K87">
        <v>0</v>
      </c>
      <c r="L87">
        <v>1.4</v>
      </c>
      <c r="M87">
        <v>0</v>
      </c>
      <c r="N87">
        <v>1.7</v>
      </c>
      <c r="O87">
        <v>0.2</v>
      </c>
      <c r="P87">
        <v>0</v>
      </c>
      <c r="Q87">
        <v>5.4</v>
      </c>
      <c r="R87">
        <v>0</v>
      </c>
      <c r="S87">
        <v>0</v>
      </c>
      <c r="T87">
        <v>2.1</v>
      </c>
      <c r="U87">
        <v>1.3</v>
      </c>
      <c r="V87">
        <v>0</v>
      </c>
      <c r="W87">
        <v>0.7</v>
      </c>
      <c r="X87">
        <v>0.2</v>
      </c>
      <c r="Y87">
        <v>15.6</v>
      </c>
      <c r="Z87">
        <v>1.2</v>
      </c>
      <c r="AA87">
        <v>20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2025</v>
      </c>
      <c r="B88" t="s">
        <v>221</v>
      </c>
      <c r="C88" t="s">
        <v>114</v>
      </c>
      <c r="D88" t="str" cm="1">
        <f t="array" ref="D88">_xlfn.XLOOKUP(1,('26 WR'!A:A=E88)*('26 WR'!B:B=F88),'26 WR'!C:C)</f>
        <v>Chris Rodriguez Jr.</v>
      </c>
      <c r="E88" t="s">
        <v>23</v>
      </c>
      <c r="F88">
        <v>47</v>
      </c>
      <c r="G88">
        <v>167</v>
      </c>
      <c r="H88">
        <v>0</v>
      </c>
      <c r="I88">
        <v>0</v>
      </c>
      <c r="J88">
        <v>0</v>
      </c>
      <c r="K88">
        <v>0</v>
      </c>
      <c r="L88">
        <v>1.4</v>
      </c>
      <c r="M88">
        <v>9</v>
      </c>
      <c r="N88">
        <v>7</v>
      </c>
      <c r="O88">
        <v>17.2</v>
      </c>
      <c r="P88">
        <v>9.1999999999999993</v>
      </c>
      <c r="Q88">
        <v>0</v>
      </c>
      <c r="R88">
        <v>8.4</v>
      </c>
      <c r="S88">
        <v>6.5</v>
      </c>
      <c r="T88">
        <v>8.4</v>
      </c>
      <c r="U88">
        <v>6.7</v>
      </c>
      <c r="V88">
        <v>5.6</v>
      </c>
      <c r="W88">
        <v>21.5</v>
      </c>
      <c r="X88">
        <v>1.1000000000000001</v>
      </c>
      <c r="Y88">
        <v>101.99999999999999</v>
      </c>
      <c r="Z88">
        <v>8.6</v>
      </c>
      <c r="AA88">
        <v>15</v>
      </c>
      <c r="AB88">
        <v>1</v>
      </c>
      <c r="AC88">
        <v>2</v>
      </c>
      <c r="AD88">
        <v>2</v>
      </c>
      <c r="AE88">
        <v>1</v>
      </c>
      <c r="AF88">
        <v>0</v>
      </c>
      <c r="AG88">
        <v>0</v>
      </c>
      <c r="AH88">
        <v>0.11764705882352941</v>
      </c>
      <c r="AI88">
        <v>0.15384615384615385</v>
      </c>
      <c r="AJ88">
        <v>7.6923076923076927E-2</v>
      </c>
      <c r="AK88">
        <v>0</v>
      </c>
      <c r="AL88">
        <v>0</v>
      </c>
    </row>
    <row r="89" spans="1:38" x14ac:dyDescent="0.25">
      <c r="A89">
        <v>2025</v>
      </c>
      <c r="B89" t="s">
        <v>223</v>
      </c>
      <c r="C89" t="s">
        <v>85</v>
      </c>
      <c r="D89" t="str" cm="1">
        <f t="array" ref="D89">_xlfn.XLOOKUP(1,('26 WR'!A:A=E89)*('26 WR'!B:B=F89),'26 WR'!C:C)</f>
        <v>Dylan Sampson</v>
      </c>
      <c r="E89" t="s">
        <v>23</v>
      </c>
      <c r="F89">
        <v>48</v>
      </c>
      <c r="G89">
        <v>169</v>
      </c>
      <c r="H89">
        <v>4.5999999999999996</v>
      </c>
      <c r="I89">
        <v>4.4000000000000004</v>
      </c>
      <c r="J89">
        <v>11.4</v>
      </c>
      <c r="K89">
        <v>5.7</v>
      </c>
      <c r="L89">
        <v>18.7</v>
      </c>
      <c r="M89">
        <v>4.4000000000000004</v>
      </c>
      <c r="N89">
        <v>1.8</v>
      </c>
      <c r="O89">
        <v>17.2</v>
      </c>
      <c r="P89">
        <v>12.5</v>
      </c>
      <c r="Q89">
        <v>0</v>
      </c>
      <c r="R89">
        <v>13.2</v>
      </c>
      <c r="S89">
        <v>20</v>
      </c>
      <c r="T89">
        <v>9</v>
      </c>
      <c r="U89">
        <v>9</v>
      </c>
      <c r="V89">
        <v>3</v>
      </c>
      <c r="W89">
        <v>0.2</v>
      </c>
      <c r="X89">
        <v>3.8</v>
      </c>
      <c r="Y89">
        <v>138.89999999999998</v>
      </c>
      <c r="Z89">
        <v>8.6</v>
      </c>
      <c r="AA89">
        <v>16</v>
      </c>
      <c r="AB89">
        <v>1</v>
      </c>
      <c r="AC89">
        <v>6</v>
      </c>
      <c r="AD89">
        <v>3</v>
      </c>
      <c r="AE89">
        <v>0</v>
      </c>
      <c r="AF89">
        <v>0</v>
      </c>
      <c r="AG89">
        <v>0</v>
      </c>
      <c r="AH89">
        <v>0.35294117647058826</v>
      </c>
      <c r="AI89">
        <v>0.17647058823529413</v>
      </c>
      <c r="AJ89">
        <v>0</v>
      </c>
      <c r="AK89">
        <v>0</v>
      </c>
      <c r="AL89">
        <v>0</v>
      </c>
    </row>
    <row r="90" spans="1:38" x14ac:dyDescent="0.25">
      <c r="A90">
        <v>2025</v>
      </c>
      <c r="B90" t="s">
        <v>225</v>
      </c>
      <c r="C90" t="s">
        <v>80</v>
      </c>
      <c r="D90" t="str" cm="1">
        <f t="array" ref="D90">_xlfn.XLOOKUP(1,('26 WR'!A:A=E90)*('26 WR'!B:B=F90),'26 WR'!C:C)</f>
        <v>Isiah Pacheco</v>
      </c>
      <c r="E90" t="s">
        <v>23</v>
      </c>
      <c r="F90">
        <v>49</v>
      </c>
      <c r="G90">
        <v>171</v>
      </c>
      <c r="H90">
        <v>0</v>
      </c>
      <c r="I90">
        <v>0</v>
      </c>
      <c r="J90">
        <v>3.9</v>
      </c>
      <c r="K90">
        <v>5.9</v>
      </c>
      <c r="L90">
        <v>0.7</v>
      </c>
      <c r="M90">
        <v>0</v>
      </c>
      <c r="N90">
        <v>7.2</v>
      </c>
      <c r="O90">
        <v>0.2</v>
      </c>
      <c r="P90">
        <v>12.5</v>
      </c>
      <c r="Q90">
        <v>7.6</v>
      </c>
      <c r="R90">
        <v>9.5</v>
      </c>
      <c r="S90">
        <v>0</v>
      </c>
      <c r="T90">
        <v>10.1</v>
      </c>
      <c r="U90">
        <v>5.2</v>
      </c>
      <c r="V90">
        <v>0</v>
      </c>
      <c r="W90">
        <v>13.9</v>
      </c>
      <c r="X90">
        <v>0</v>
      </c>
      <c r="Y90">
        <v>76.7</v>
      </c>
      <c r="Z90">
        <v>7.1</v>
      </c>
      <c r="AA90">
        <v>16</v>
      </c>
      <c r="AB90">
        <v>1</v>
      </c>
      <c r="AC90">
        <v>4</v>
      </c>
      <c r="AD90">
        <v>1</v>
      </c>
      <c r="AE90">
        <v>0</v>
      </c>
      <c r="AF90">
        <v>0</v>
      </c>
      <c r="AG90">
        <v>0</v>
      </c>
      <c r="AH90">
        <v>0.23529411764705882</v>
      </c>
      <c r="AI90">
        <v>7.6923076923076927E-2</v>
      </c>
      <c r="AJ90">
        <v>0</v>
      </c>
      <c r="AK90">
        <v>0</v>
      </c>
      <c r="AL90">
        <v>0</v>
      </c>
    </row>
    <row r="91" spans="1:38" x14ac:dyDescent="0.25">
      <c r="A91">
        <v>2025</v>
      </c>
      <c r="B91" t="s">
        <v>228</v>
      </c>
      <c r="C91" t="s">
        <v>26</v>
      </c>
      <c r="D91" t="str" cm="1">
        <f t="array" ref="D91">_xlfn.XLOOKUP(1,('26 WR'!A:A=E91)*('26 WR'!B:B=F91),'26 WR'!C:C)</f>
        <v>Alvin Kamara</v>
      </c>
      <c r="E91" t="s">
        <v>23</v>
      </c>
      <c r="F91">
        <v>50</v>
      </c>
      <c r="G91">
        <v>174</v>
      </c>
      <c r="H91">
        <v>4.7</v>
      </c>
      <c r="I91">
        <v>2.9</v>
      </c>
      <c r="J91">
        <v>2.2000000000000002</v>
      </c>
      <c r="K91">
        <v>2.1</v>
      </c>
      <c r="L91">
        <v>1.2</v>
      </c>
      <c r="M91">
        <v>3.8</v>
      </c>
      <c r="N91">
        <v>3.6</v>
      </c>
      <c r="O91">
        <v>0</v>
      </c>
      <c r="P91">
        <v>11.3</v>
      </c>
      <c r="Q91">
        <v>11.5</v>
      </c>
      <c r="R91">
        <v>2.4</v>
      </c>
      <c r="S91">
        <v>5.4</v>
      </c>
      <c r="T91">
        <v>2.6</v>
      </c>
      <c r="U91">
        <v>0</v>
      </c>
      <c r="V91">
        <v>2.1</v>
      </c>
      <c r="W91">
        <v>2</v>
      </c>
      <c r="X91">
        <v>3.8</v>
      </c>
      <c r="Y91">
        <v>61.599999999999994</v>
      </c>
      <c r="Z91">
        <v>3.7</v>
      </c>
      <c r="AA91">
        <v>11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0.11764705882352941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2025</v>
      </c>
      <c r="B92" t="s">
        <v>233</v>
      </c>
      <c r="C92" t="s">
        <v>41</v>
      </c>
      <c r="D92" t="str" cm="1">
        <f t="array" ref="D92">_xlfn.XLOOKUP(1,('26 WR'!A:A=E92)*('26 WR'!B:B=F92),'26 WR'!C:C)</f>
        <v>Keaton Mitchell</v>
      </c>
      <c r="E92" t="s">
        <v>23</v>
      </c>
      <c r="F92">
        <v>51</v>
      </c>
      <c r="G92">
        <v>179</v>
      </c>
      <c r="H92">
        <v>0</v>
      </c>
      <c r="I92">
        <v>0</v>
      </c>
      <c r="J92">
        <v>0</v>
      </c>
      <c r="K92">
        <v>0</v>
      </c>
      <c r="L92">
        <v>2.2999999999999998</v>
      </c>
      <c r="M92">
        <v>0</v>
      </c>
      <c r="N92">
        <v>0</v>
      </c>
      <c r="O92">
        <v>4.3</v>
      </c>
      <c r="P92">
        <v>2.8</v>
      </c>
      <c r="Q92">
        <v>3.1</v>
      </c>
      <c r="R92">
        <v>7.4</v>
      </c>
      <c r="S92">
        <v>2.9</v>
      </c>
      <c r="T92">
        <v>11.1</v>
      </c>
      <c r="U92">
        <v>7.6</v>
      </c>
      <c r="V92">
        <v>6.6</v>
      </c>
      <c r="W92">
        <v>1.3</v>
      </c>
      <c r="X92">
        <v>5.8</v>
      </c>
      <c r="Y92">
        <v>55.199999999999996</v>
      </c>
      <c r="Z92">
        <v>4.3</v>
      </c>
      <c r="AA92">
        <v>16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5.8823529411764705E-2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2025</v>
      </c>
      <c r="B93" t="s">
        <v>239</v>
      </c>
      <c r="C93" t="s">
        <v>41</v>
      </c>
      <c r="D93" t="str" cm="1">
        <f t="array" ref="D93">_xlfn.XLOOKUP(1,('26 WR'!A:A=E93)*('26 WR'!B:B=F93),'26 WR'!C:C)</f>
        <v>Jonah Coleman</v>
      </c>
      <c r="E93" t="s">
        <v>23</v>
      </c>
      <c r="F93">
        <v>52</v>
      </c>
      <c r="G93">
        <v>185</v>
      </c>
      <c r="H93">
        <v>0.1</v>
      </c>
      <c r="I93">
        <v>5.5</v>
      </c>
      <c r="J93">
        <v>7.5</v>
      </c>
      <c r="K93">
        <v>28.7</v>
      </c>
      <c r="L93">
        <v>2.2000000000000002</v>
      </c>
      <c r="M93">
        <v>9.4</v>
      </c>
      <c r="N93">
        <v>0</v>
      </c>
      <c r="O93">
        <v>0.2</v>
      </c>
      <c r="P93">
        <v>3.5</v>
      </c>
      <c r="Q93">
        <v>8.3000000000000007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65.400000000000006</v>
      </c>
      <c r="Z93">
        <v>6.5</v>
      </c>
      <c r="AA93">
        <v>17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5.8823529411764705E-2</v>
      </c>
      <c r="AI93">
        <v>0.1</v>
      </c>
      <c r="AJ93">
        <v>0.1</v>
      </c>
      <c r="AK93">
        <v>0.1</v>
      </c>
      <c r="AL93">
        <v>0</v>
      </c>
    </row>
    <row r="94" spans="1:38" x14ac:dyDescent="0.25">
      <c r="A94">
        <v>2025</v>
      </c>
      <c r="B94" t="s">
        <v>241</v>
      </c>
      <c r="C94" t="s">
        <v>55</v>
      </c>
      <c r="D94" t="str" cm="1">
        <f t="array" ref="D94">_xlfn.XLOOKUP(1,('26 WR'!A:A=E94)*('26 WR'!B:B=F94),'26 WR'!C:C)</f>
        <v>Brian Robinson Jr.</v>
      </c>
      <c r="E94" t="s">
        <v>23</v>
      </c>
      <c r="F94">
        <v>53</v>
      </c>
      <c r="G94">
        <v>187</v>
      </c>
      <c r="H94">
        <v>4.0999999999999996</v>
      </c>
      <c r="I94">
        <v>0</v>
      </c>
      <c r="J94">
        <v>0.3</v>
      </c>
      <c r="K94">
        <v>0</v>
      </c>
      <c r="L94">
        <v>2.2000000000000002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6.6</v>
      </c>
      <c r="Z94">
        <v>1.1000000000000001</v>
      </c>
      <c r="AA94">
        <v>20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2025</v>
      </c>
      <c r="B95" t="s">
        <v>248</v>
      </c>
      <c r="C95" t="s">
        <v>49</v>
      </c>
      <c r="D95" t="str" cm="1">
        <f t="array" ref="D95">_xlfn.XLOOKUP(1,('26 WR'!A:A=E95)*('26 WR'!B:B=F95),'26 WR'!C:C)</f>
        <v>Tank Bigsby</v>
      </c>
      <c r="E95" t="s">
        <v>23</v>
      </c>
      <c r="F95">
        <v>54</v>
      </c>
      <c r="G95">
        <v>194</v>
      </c>
      <c r="H95">
        <v>2.6</v>
      </c>
      <c r="I95">
        <v>10.4</v>
      </c>
      <c r="J95">
        <v>5.3</v>
      </c>
      <c r="K95">
        <v>3.6</v>
      </c>
      <c r="L95">
        <v>1.3</v>
      </c>
      <c r="M95">
        <v>2.2999999999999998</v>
      </c>
      <c r="N95">
        <v>5.3</v>
      </c>
      <c r="O95">
        <v>0</v>
      </c>
      <c r="P95">
        <v>5.8</v>
      </c>
      <c r="Q95">
        <v>5.6</v>
      </c>
      <c r="R95">
        <v>1.5</v>
      </c>
      <c r="S95">
        <v>2.4</v>
      </c>
      <c r="T95">
        <v>14.1</v>
      </c>
      <c r="U95">
        <v>26.1</v>
      </c>
      <c r="V95">
        <v>13.1</v>
      </c>
      <c r="W95">
        <v>13.1</v>
      </c>
      <c r="X95">
        <v>1.8</v>
      </c>
      <c r="Y95">
        <v>114.3</v>
      </c>
      <c r="Z95">
        <v>7.2</v>
      </c>
      <c r="AA95">
        <v>18</v>
      </c>
      <c r="AB95">
        <v>1</v>
      </c>
      <c r="AC95">
        <v>5</v>
      </c>
      <c r="AD95">
        <v>1</v>
      </c>
      <c r="AE95">
        <v>1</v>
      </c>
      <c r="AF95">
        <v>1</v>
      </c>
      <c r="AG95">
        <v>0</v>
      </c>
      <c r="AH95">
        <v>0.29411764705882354</v>
      </c>
      <c r="AI95">
        <v>5.8823529411764705E-2</v>
      </c>
      <c r="AJ95">
        <v>5.8823529411764705E-2</v>
      </c>
      <c r="AK95">
        <v>5.8823529411764705E-2</v>
      </c>
      <c r="AL95">
        <v>0</v>
      </c>
    </row>
    <row r="96" spans="1:38" x14ac:dyDescent="0.25">
      <c r="A96">
        <v>2025</v>
      </c>
      <c r="B96" t="s">
        <v>254</v>
      </c>
      <c r="C96" t="s">
        <v>96</v>
      </c>
      <c r="D96" t="str" cm="1">
        <f t="array" ref="D96">_xlfn.XLOOKUP(1,('26 WR'!A:A=E96)*('26 WR'!B:B=F96),'26 WR'!C:C)</f>
        <v>Braelon Allen</v>
      </c>
      <c r="E96" t="s">
        <v>23</v>
      </c>
      <c r="F96">
        <v>55</v>
      </c>
      <c r="G96">
        <v>200</v>
      </c>
      <c r="H96">
        <v>2.4</v>
      </c>
      <c r="I96">
        <v>2</v>
      </c>
      <c r="J96">
        <v>5.6</v>
      </c>
      <c r="K96">
        <v>12.5</v>
      </c>
      <c r="L96">
        <v>5.9</v>
      </c>
      <c r="M96">
        <v>4.2</v>
      </c>
      <c r="N96">
        <v>0.7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33.300000000000004</v>
      </c>
      <c r="Z96">
        <v>4.8</v>
      </c>
      <c r="AA96">
        <v>20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5.8823529411764705E-2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2025</v>
      </c>
      <c r="B97" t="s">
        <v>255</v>
      </c>
      <c r="C97" t="s">
        <v>110</v>
      </c>
      <c r="D97" t="str" cm="1">
        <f t="array" ref="D97">_xlfn.XLOOKUP(1,('26 WR'!A:A=E97)*('26 WR'!B:B=F97),'26 WR'!C:C)</f>
        <v>James Conner</v>
      </c>
      <c r="E97" t="s">
        <v>23</v>
      </c>
      <c r="F97">
        <v>56</v>
      </c>
      <c r="G97">
        <v>201</v>
      </c>
      <c r="H97">
        <v>2.1</v>
      </c>
      <c r="I97">
        <v>4.5999999999999996</v>
      </c>
      <c r="J97">
        <v>3</v>
      </c>
      <c r="K97">
        <v>1.8</v>
      </c>
      <c r="L97">
        <v>0</v>
      </c>
      <c r="M97">
        <v>5.4</v>
      </c>
      <c r="N97">
        <v>17.399999999999999</v>
      </c>
      <c r="O97">
        <v>2.4</v>
      </c>
      <c r="P97">
        <v>22.8</v>
      </c>
      <c r="Q97">
        <v>8.8000000000000007</v>
      </c>
      <c r="R97">
        <v>10.7</v>
      </c>
      <c r="S97">
        <v>10.8</v>
      </c>
      <c r="T97">
        <v>19</v>
      </c>
      <c r="U97">
        <v>8.6999999999999993</v>
      </c>
      <c r="V97">
        <v>3.3</v>
      </c>
      <c r="W97">
        <v>12.3</v>
      </c>
      <c r="X97">
        <v>7.7</v>
      </c>
      <c r="Y97">
        <v>140.79999999999998</v>
      </c>
      <c r="Z97">
        <v>8.6</v>
      </c>
      <c r="AA97">
        <v>19</v>
      </c>
      <c r="AB97">
        <v>1</v>
      </c>
      <c r="AC97">
        <v>6</v>
      </c>
      <c r="AD97">
        <v>3</v>
      </c>
      <c r="AE97">
        <v>1</v>
      </c>
      <c r="AF97">
        <v>0</v>
      </c>
      <c r="AG97">
        <v>0</v>
      </c>
      <c r="AH97">
        <v>0.35294117647058826</v>
      </c>
      <c r="AI97">
        <v>0.17647058823529413</v>
      </c>
      <c r="AJ97">
        <v>5.8823529411764705E-2</v>
      </c>
      <c r="AK97">
        <v>0</v>
      </c>
      <c r="AL97">
        <v>0</v>
      </c>
    </row>
    <row r="98" spans="1:38" x14ac:dyDescent="0.25">
      <c r="A98">
        <v>2025</v>
      </c>
      <c r="B98" t="s">
        <v>257</v>
      </c>
      <c r="C98" t="s">
        <v>59</v>
      </c>
      <c r="D98" t="str" cm="1">
        <f t="array" ref="D98">_xlfn.XLOOKUP(1,('26 WR'!A:A=E98)*('26 WR'!B:B=F98),'26 WR'!C:C)</f>
        <v>Emanuel Wilson</v>
      </c>
      <c r="E98" t="s">
        <v>23</v>
      </c>
      <c r="F98">
        <v>57</v>
      </c>
      <c r="G98">
        <v>203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3.8</v>
      </c>
      <c r="P98">
        <v>0</v>
      </c>
      <c r="Q98">
        <v>1.7</v>
      </c>
      <c r="R98">
        <v>0.4</v>
      </c>
      <c r="S98">
        <v>0</v>
      </c>
      <c r="T98">
        <v>1.6</v>
      </c>
      <c r="U98">
        <v>16.7</v>
      </c>
      <c r="V98">
        <v>2.1</v>
      </c>
      <c r="W98">
        <v>12.3</v>
      </c>
      <c r="X98">
        <v>5.6</v>
      </c>
      <c r="Y98">
        <v>44.2</v>
      </c>
      <c r="Z98">
        <v>4.4000000000000004</v>
      </c>
      <c r="AA98">
        <v>20</v>
      </c>
      <c r="AB98">
        <v>1</v>
      </c>
      <c r="AC98">
        <v>2</v>
      </c>
      <c r="AD98">
        <v>1</v>
      </c>
      <c r="AE98">
        <v>0</v>
      </c>
      <c r="AF98">
        <v>0</v>
      </c>
      <c r="AG98">
        <v>0</v>
      </c>
      <c r="AH98">
        <v>0.11764705882352941</v>
      </c>
      <c r="AI98">
        <v>9.0909090909090912E-2</v>
      </c>
      <c r="AJ98">
        <v>0</v>
      </c>
      <c r="AK98">
        <v>0</v>
      </c>
      <c r="AL98">
        <v>0</v>
      </c>
    </row>
    <row r="99" spans="1:38" x14ac:dyDescent="0.25">
      <c r="A99">
        <v>2025</v>
      </c>
      <c r="B99" t="s">
        <v>260</v>
      </c>
      <c r="C99" t="s">
        <v>57</v>
      </c>
      <c r="D99" t="str" cm="1">
        <f t="array" ref="D99">_xlfn.XLOOKUP(1,('26 WR'!A:A=E99)*('26 WR'!B:B=F99),'26 WR'!C:C)</f>
        <v>Kimani Vidal</v>
      </c>
      <c r="E99" t="s">
        <v>23</v>
      </c>
      <c r="F99">
        <v>58</v>
      </c>
      <c r="G99">
        <v>206</v>
      </c>
      <c r="H99">
        <v>0.2</v>
      </c>
      <c r="I99">
        <v>0</v>
      </c>
      <c r="J99">
        <v>0</v>
      </c>
      <c r="K99">
        <v>0</v>
      </c>
      <c r="L99">
        <v>2.9</v>
      </c>
      <c r="M99">
        <v>8.5</v>
      </c>
      <c r="N99">
        <v>1.6</v>
      </c>
      <c r="O99">
        <v>10.199999999999999</v>
      </c>
      <c r="P99">
        <v>0</v>
      </c>
      <c r="Q99">
        <v>6.1</v>
      </c>
      <c r="R99">
        <v>34</v>
      </c>
      <c r="S99">
        <v>5.6</v>
      </c>
      <c r="T99">
        <v>0</v>
      </c>
      <c r="U99">
        <v>8.9</v>
      </c>
      <c r="V99">
        <v>6.7</v>
      </c>
      <c r="W99">
        <v>6.3</v>
      </c>
      <c r="X99">
        <v>0.8</v>
      </c>
      <c r="Y99">
        <v>91.8</v>
      </c>
      <c r="Z99">
        <v>5.4</v>
      </c>
      <c r="AA99">
        <v>20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1</v>
      </c>
      <c r="AH99">
        <v>0.11764705882352941</v>
      </c>
      <c r="AI99">
        <v>5.8823529411764705E-2</v>
      </c>
      <c r="AJ99">
        <v>5.8823529411764705E-2</v>
      </c>
      <c r="AK99">
        <v>5.8823529411764705E-2</v>
      </c>
      <c r="AL99">
        <v>5.8823529411764705E-2</v>
      </c>
    </row>
    <row r="100" spans="1:38" x14ac:dyDescent="0.25">
      <c r="A100">
        <v>2025</v>
      </c>
      <c r="B100" t="s">
        <v>262</v>
      </c>
      <c r="C100" t="s">
        <v>85</v>
      </c>
      <c r="D100" t="str" cm="1">
        <f t="array" ref="D100">_xlfn.XLOOKUP(1,('26 WR'!A:A=E100)*('26 WR'!B:B=F100),'26 WR'!C:C)</f>
        <v>Emmett Johnson</v>
      </c>
      <c r="E100" t="s">
        <v>23</v>
      </c>
      <c r="F100">
        <v>59</v>
      </c>
      <c r="G100">
        <v>208</v>
      </c>
      <c r="H100">
        <v>0</v>
      </c>
      <c r="I100">
        <v>0.2</v>
      </c>
      <c r="J100">
        <v>1.3</v>
      </c>
      <c r="K100">
        <v>6.6</v>
      </c>
      <c r="L100">
        <v>6.6</v>
      </c>
      <c r="M100">
        <v>5.0999999999999996</v>
      </c>
      <c r="N100">
        <v>13.1</v>
      </c>
      <c r="O100">
        <v>0.8</v>
      </c>
      <c r="P100">
        <v>0.7</v>
      </c>
      <c r="Q100">
        <v>0</v>
      </c>
      <c r="R100">
        <v>2.8</v>
      </c>
      <c r="S100">
        <v>6.6</v>
      </c>
      <c r="T100">
        <v>0</v>
      </c>
      <c r="U100">
        <v>0.7</v>
      </c>
      <c r="V100">
        <v>0.1</v>
      </c>
      <c r="W100">
        <v>1.4</v>
      </c>
      <c r="X100">
        <v>9.5</v>
      </c>
      <c r="Y100">
        <v>55.5</v>
      </c>
      <c r="Z100">
        <v>3.7</v>
      </c>
      <c r="AA100">
        <v>20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5.8823529411764705E-2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2025</v>
      </c>
      <c r="B101" t="s">
        <v>264</v>
      </c>
      <c r="C101" t="s">
        <v>29</v>
      </c>
      <c r="D101" t="str" cm="1">
        <f t="array" ref="D101">_xlfn.XLOOKUP(1,('26 WR'!A:A=E101)*('26 WR'!B:B=F101),'26 WR'!C:C)</f>
        <v>Ray Davis</v>
      </c>
      <c r="E101" t="s">
        <v>23</v>
      </c>
      <c r="F101">
        <v>60</v>
      </c>
      <c r="G101">
        <v>210</v>
      </c>
      <c r="H101">
        <v>0</v>
      </c>
      <c r="I101">
        <v>0</v>
      </c>
      <c r="J101">
        <v>0</v>
      </c>
      <c r="K101">
        <v>8.3000000000000007</v>
      </c>
      <c r="L101">
        <v>2.2000000000000002</v>
      </c>
      <c r="M101">
        <v>0.4</v>
      </c>
      <c r="N101">
        <v>1.2</v>
      </c>
      <c r="O101">
        <v>0</v>
      </c>
      <c r="P101">
        <v>2.4</v>
      </c>
      <c r="Q101">
        <v>2.5</v>
      </c>
      <c r="R101">
        <v>3.3</v>
      </c>
      <c r="S101">
        <v>5</v>
      </c>
      <c r="T101">
        <v>0.6</v>
      </c>
      <c r="U101">
        <v>1.2</v>
      </c>
      <c r="V101">
        <v>1.2</v>
      </c>
      <c r="W101">
        <v>1.9</v>
      </c>
      <c r="X101">
        <v>0</v>
      </c>
      <c r="Y101">
        <v>30.2</v>
      </c>
      <c r="Z101">
        <v>2.5</v>
      </c>
      <c r="AA101">
        <v>20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2025</v>
      </c>
      <c r="B102" t="s">
        <v>266</v>
      </c>
      <c r="C102" t="s">
        <v>98</v>
      </c>
      <c r="D102" t="str" cm="1">
        <f t="array" ref="D102">_xlfn.XLOOKUP(1,('26 WR'!A:A=E102)*('26 WR'!B:B=F102),'26 WR'!C:C)</f>
        <v>Mike Washington Jr.</v>
      </c>
      <c r="E102" t="s">
        <v>23</v>
      </c>
      <c r="F102">
        <v>61</v>
      </c>
      <c r="G102">
        <v>212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8.4</v>
      </c>
      <c r="S102">
        <v>0</v>
      </c>
      <c r="T102">
        <v>4</v>
      </c>
      <c r="U102">
        <v>4.0999999999999996</v>
      </c>
      <c r="V102">
        <v>0.4</v>
      </c>
      <c r="W102">
        <v>3.7</v>
      </c>
      <c r="X102">
        <v>4</v>
      </c>
      <c r="Y102">
        <v>24.599999999999998</v>
      </c>
      <c r="Z102">
        <v>3.9</v>
      </c>
      <c r="AA102">
        <v>20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2025</v>
      </c>
      <c r="B103" t="s">
        <v>267</v>
      </c>
      <c r="C103" t="s">
        <v>98</v>
      </c>
      <c r="D103" t="str" cm="1">
        <f t="array" ref="D103">_xlfn.XLOOKUP(1,('26 WR'!A:A=E103)*('26 WR'!B:B=F103),'26 WR'!C:C)</f>
        <v>Sean Tucker</v>
      </c>
      <c r="E103" t="s">
        <v>23</v>
      </c>
      <c r="F103">
        <v>62</v>
      </c>
      <c r="G103">
        <v>213</v>
      </c>
      <c r="H103">
        <v>3.6</v>
      </c>
      <c r="I103">
        <v>4.2</v>
      </c>
      <c r="J103">
        <v>0</v>
      </c>
      <c r="K103">
        <v>2.1</v>
      </c>
      <c r="L103">
        <v>2.6</v>
      </c>
      <c r="M103">
        <v>0</v>
      </c>
      <c r="N103">
        <v>3.9</v>
      </c>
      <c r="O103">
        <v>0.6</v>
      </c>
      <c r="P103">
        <v>2.6</v>
      </c>
      <c r="Q103">
        <v>0</v>
      </c>
      <c r="R103">
        <v>1</v>
      </c>
      <c r="S103">
        <v>0</v>
      </c>
      <c r="T103">
        <v>4.8</v>
      </c>
      <c r="U103">
        <v>3.1</v>
      </c>
      <c r="V103">
        <v>1.1000000000000001</v>
      </c>
      <c r="W103">
        <v>1.2</v>
      </c>
      <c r="X103">
        <v>0</v>
      </c>
      <c r="Y103">
        <v>30.800000000000004</v>
      </c>
      <c r="Z103">
        <v>2.2000000000000002</v>
      </c>
      <c r="AA103">
        <v>20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>
        <v>2025</v>
      </c>
      <c r="B104" t="s">
        <v>268</v>
      </c>
      <c r="C104" t="s">
        <v>26</v>
      </c>
      <c r="D104" t="str" cm="1">
        <f t="array" ref="D104">_xlfn.XLOOKUP(1,('26 WR'!A:A=E104)*('26 WR'!B:B=F104),'26 WR'!C:C)</f>
        <v>Jaylen Wright</v>
      </c>
      <c r="E104" t="s">
        <v>23</v>
      </c>
      <c r="F104">
        <v>63</v>
      </c>
      <c r="G104">
        <v>214</v>
      </c>
      <c r="H104">
        <v>5.2</v>
      </c>
      <c r="I104">
        <v>1.5</v>
      </c>
      <c r="J104">
        <v>7.1</v>
      </c>
      <c r="K104">
        <v>6.2</v>
      </c>
      <c r="L104">
        <v>5</v>
      </c>
      <c r="M104">
        <v>1.9</v>
      </c>
      <c r="N104">
        <v>1.8</v>
      </c>
      <c r="O104">
        <v>1.4</v>
      </c>
      <c r="P104">
        <v>2.2000000000000002</v>
      </c>
      <c r="Q104">
        <v>2.8</v>
      </c>
      <c r="R104">
        <v>4.5999999999999996</v>
      </c>
      <c r="S104">
        <v>0</v>
      </c>
      <c r="T104">
        <v>4.7</v>
      </c>
      <c r="U104">
        <v>0</v>
      </c>
      <c r="V104">
        <v>1.7</v>
      </c>
      <c r="W104">
        <v>0</v>
      </c>
      <c r="X104">
        <v>9.4</v>
      </c>
      <c r="Y104">
        <v>55.5</v>
      </c>
      <c r="Z104">
        <v>3.4</v>
      </c>
      <c r="AA104">
        <v>20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2025</v>
      </c>
      <c r="B105" t="s">
        <v>269</v>
      </c>
      <c r="C105" t="s">
        <v>80</v>
      </c>
      <c r="D105" t="str" cm="1">
        <f t="array" ref="D105">_xlfn.XLOOKUP(1,('26 WR'!A:A=E105)*('26 WR'!B:B=F105),'26 WR'!C:C)</f>
        <v>Nicholas Singleton</v>
      </c>
      <c r="E105" t="s">
        <v>23</v>
      </c>
      <c r="F105">
        <v>64</v>
      </c>
      <c r="G105">
        <v>215</v>
      </c>
      <c r="H105">
        <v>2.5</v>
      </c>
      <c r="I105">
        <v>0</v>
      </c>
      <c r="J105">
        <v>13.8</v>
      </c>
      <c r="K105">
        <v>1.3</v>
      </c>
      <c r="L105">
        <v>2.8</v>
      </c>
      <c r="M105">
        <v>6.5</v>
      </c>
      <c r="N105">
        <v>6.5</v>
      </c>
      <c r="O105">
        <v>11.8</v>
      </c>
      <c r="P105">
        <v>0</v>
      </c>
      <c r="Q105">
        <v>3.9</v>
      </c>
      <c r="R105">
        <v>4.9000000000000004</v>
      </c>
      <c r="S105">
        <v>0</v>
      </c>
      <c r="T105">
        <v>5</v>
      </c>
      <c r="U105">
        <v>1.2</v>
      </c>
      <c r="V105">
        <v>1.2</v>
      </c>
      <c r="W105">
        <v>5.2</v>
      </c>
      <c r="X105">
        <v>4</v>
      </c>
      <c r="Y105">
        <v>70.600000000000009</v>
      </c>
      <c r="Z105">
        <v>4.3</v>
      </c>
      <c r="AA105">
        <v>20</v>
      </c>
      <c r="AB105">
        <v>1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0.11764705882352941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2025</v>
      </c>
      <c r="B106" t="s">
        <v>274</v>
      </c>
      <c r="C106" t="s">
        <v>132</v>
      </c>
      <c r="D106" t="str" cm="1">
        <f t="array" ref="D106">_xlfn.XLOOKUP(1,('26 WR'!A:A=E106)*('26 WR'!B:B=F106),'26 WR'!C:C)</f>
        <v>Justice Hill</v>
      </c>
      <c r="E106" t="s">
        <v>23</v>
      </c>
      <c r="F106">
        <v>65</v>
      </c>
      <c r="G106">
        <v>220</v>
      </c>
      <c r="H106">
        <v>6.3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5.6</v>
      </c>
      <c r="X106">
        <v>4.0999999999999996</v>
      </c>
      <c r="Y106">
        <v>15.999999999999998</v>
      </c>
      <c r="Z106">
        <v>4.0999999999999996</v>
      </c>
      <c r="AA106">
        <v>20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2025</v>
      </c>
      <c r="B107" t="s">
        <v>277</v>
      </c>
      <c r="C107" t="s">
        <v>35</v>
      </c>
      <c r="D107" t="str" cm="1">
        <f t="array" ref="D107">_xlfn.XLOOKUP(1,('26 WR'!A:A=E107)*('26 WR'!B:B=F107),'26 WR'!C:C)</f>
        <v>Ollie Gordon II</v>
      </c>
      <c r="E107" t="s">
        <v>23</v>
      </c>
      <c r="F107">
        <v>66</v>
      </c>
      <c r="G107">
        <v>223</v>
      </c>
      <c r="H107">
        <v>4</v>
      </c>
      <c r="I107">
        <v>9.9</v>
      </c>
      <c r="J107">
        <v>8.3000000000000007</v>
      </c>
      <c r="K107">
        <v>4.5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26.700000000000003</v>
      </c>
      <c r="Z107">
        <v>6.7</v>
      </c>
      <c r="AA107">
        <v>20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2025</v>
      </c>
      <c r="B108" t="s">
        <v>279</v>
      </c>
      <c r="C108" t="s">
        <v>43</v>
      </c>
      <c r="D108" t="str" cm="1">
        <f t="array" ref="D108">_xlfn.XLOOKUP(1,('26 WR'!A:A=E108)*('26 WR'!B:B=F108),'26 WR'!C:C)</f>
        <v>Kaytron Allen</v>
      </c>
      <c r="E108" t="s">
        <v>23</v>
      </c>
      <c r="F108">
        <v>67</v>
      </c>
      <c r="G108">
        <v>225</v>
      </c>
      <c r="H108">
        <v>0.9</v>
      </c>
      <c r="I108">
        <v>1</v>
      </c>
      <c r="J108">
        <v>1.1000000000000001</v>
      </c>
      <c r="K108">
        <v>2.8</v>
      </c>
      <c r="L108">
        <v>3.4</v>
      </c>
      <c r="M108">
        <v>1</v>
      </c>
      <c r="N108">
        <v>0.2</v>
      </c>
      <c r="O108">
        <v>3.8</v>
      </c>
      <c r="P108">
        <v>7.1</v>
      </c>
      <c r="Q108">
        <v>10.3</v>
      </c>
      <c r="R108">
        <v>17.7</v>
      </c>
      <c r="S108">
        <v>4.7</v>
      </c>
      <c r="T108">
        <v>19.2</v>
      </c>
      <c r="U108">
        <v>0</v>
      </c>
      <c r="V108">
        <v>2.4</v>
      </c>
      <c r="W108">
        <v>5.6</v>
      </c>
      <c r="X108">
        <v>17</v>
      </c>
      <c r="Y108">
        <v>98.2</v>
      </c>
      <c r="Z108">
        <v>6.4</v>
      </c>
      <c r="AA108">
        <v>20</v>
      </c>
      <c r="AB108">
        <v>1</v>
      </c>
      <c r="AC108">
        <v>5</v>
      </c>
      <c r="AD108">
        <v>3</v>
      </c>
      <c r="AE108">
        <v>0</v>
      </c>
      <c r="AF108">
        <v>0</v>
      </c>
      <c r="AG108">
        <v>0</v>
      </c>
      <c r="AH108">
        <v>0.29411764705882354</v>
      </c>
      <c r="AI108">
        <v>0.17647058823529413</v>
      </c>
      <c r="AJ108">
        <v>0</v>
      </c>
      <c r="AK108">
        <v>0</v>
      </c>
      <c r="AL108">
        <v>0</v>
      </c>
    </row>
    <row r="109" spans="1:38" x14ac:dyDescent="0.25">
      <c r="A109">
        <v>2025</v>
      </c>
      <c r="B109" t="s">
        <v>283</v>
      </c>
      <c r="C109" t="s">
        <v>45</v>
      </c>
      <c r="D109" t="str" cm="1">
        <f t="array" ref="D109">_xlfn.XLOOKUP(1,('26 WR'!A:A=E109)*('26 WR'!B:B=F109),'26 WR'!C:C)</f>
        <v>Ty Johnson</v>
      </c>
      <c r="E109" t="s">
        <v>23</v>
      </c>
      <c r="F109">
        <v>68</v>
      </c>
      <c r="G109">
        <v>229</v>
      </c>
      <c r="H109">
        <v>0</v>
      </c>
      <c r="I109">
        <v>0</v>
      </c>
      <c r="J109">
        <v>0</v>
      </c>
      <c r="K109">
        <v>10.1</v>
      </c>
      <c r="L109">
        <v>6.1</v>
      </c>
      <c r="M109">
        <v>0.1</v>
      </c>
      <c r="N109">
        <v>0</v>
      </c>
      <c r="O109">
        <v>0</v>
      </c>
      <c r="P109">
        <v>8.8000000000000007</v>
      </c>
      <c r="Q109">
        <v>13.4</v>
      </c>
      <c r="R109">
        <v>4</v>
      </c>
      <c r="S109">
        <v>0</v>
      </c>
      <c r="T109">
        <v>0</v>
      </c>
      <c r="U109">
        <v>0</v>
      </c>
      <c r="V109">
        <v>2.1</v>
      </c>
      <c r="W109">
        <v>3</v>
      </c>
      <c r="X109">
        <v>4</v>
      </c>
      <c r="Y109">
        <v>51.6</v>
      </c>
      <c r="Z109">
        <v>4.5</v>
      </c>
      <c r="AA109">
        <v>20</v>
      </c>
      <c r="AB109">
        <v>1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0.11764705882352941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>
        <v>2025</v>
      </c>
      <c r="B110" t="s">
        <v>284</v>
      </c>
      <c r="C110" t="s">
        <v>59</v>
      </c>
      <c r="D110" t="str" cm="1">
        <f t="array" ref="D110">_xlfn.XLOOKUP(1,('26 WR'!A:A=E110)*('26 WR'!B:B=F110),'26 WR'!C:C)</f>
        <v>MarShawn Lloyd</v>
      </c>
      <c r="E110" t="s">
        <v>23</v>
      </c>
      <c r="F110">
        <v>69</v>
      </c>
      <c r="G110">
        <v>230</v>
      </c>
      <c r="H110">
        <v>1.3</v>
      </c>
      <c r="I110">
        <v>2.2999999999999998</v>
      </c>
      <c r="J110">
        <v>9.8000000000000007</v>
      </c>
      <c r="K110">
        <v>1</v>
      </c>
      <c r="L110">
        <v>0.2</v>
      </c>
      <c r="M110">
        <v>1.2</v>
      </c>
      <c r="N110">
        <v>2.2999999999999998</v>
      </c>
      <c r="O110">
        <v>13.6</v>
      </c>
      <c r="P110">
        <v>1.9</v>
      </c>
      <c r="Q110">
        <v>0.3</v>
      </c>
      <c r="R110">
        <v>10.5</v>
      </c>
      <c r="S110">
        <v>0</v>
      </c>
      <c r="T110">
        <v>1</v>
      </c>
      <c r="U110">
        <v>7.7</v>
      </c>
      <c r="V110">
        <v>0</v>
      </c>
      <c r="W110">
        <v>0.1</v>
      </c>
      <c r="X110">
        <v>0</v>
      </c>
      <c r="Y110">
        <v>53.199999999999996</v>
      </c>
      <c r="Z110">
        <v>3.2</v>
      </c>
      <c r="AA110">
        <v>11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0.11764705882352941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2025</v>
      </c>
      <c r="B111" t="s">
        <v>286</v>
      </c>
      <c r="C111" t="s">
        <v>55</v>
      </c>
      <c r="D111" t="str" cm="1">
        <f t="array" ref="D111">_xlfn.XLOOKUP(1,('26 WR'!A:A=E111)*('26 WR'!B:B=F111),'26 WR'!C:C)</f>
        <v>Devin Neal</v>
      </c>
      <c r="E111" t="s">
        <v>23</v>
      </c>
      <c r="F111">
        <v>70</v>
      </c>
      <c r="G111">
        <v>232</v>
      </c>
      <c r="H111">
        <v>0</v>
      </c>
      <c r="I111">
        <v>0</v>
      </c>
      <c r="J111">
        <v>0</v>
      </c>
      <c r="K111">
        <v>0</v>
      </c>
      <c r="L111">
        <v>6.6</v>
      </c>
      <c r="M111">
        <v>2.6</v>
      </c>
      <c r="N111">
        <v>3.7</v>
      </c>
      <c r="O111">
        <v>1.8</v>
      </c>
      <c r="P111">
        <v>1.5</v>
      </c>
      <c r="Q111">
        <v>1.8</v>
      </c>
      <c r="R111">
        <v>0</v>
      </c>
      <c r="S111">
        <v>0</v>
      </c>
      <c r="T111">
        <v>0</v>
      </c>
      <c r="U111">
        <v>2.9</v>
      </c>
      <c r="V111">
        <v>9.6999999999999993</v>
      </c>
      <c r="W111">
        <v>0.6</v>
      </c>
      <c r="X111">
        <v>1.4</v>
      </c>
      <c r="Y111">
        <v>32.6</v>
      </c>
      <c r="Z111">
        <v>2.8</v>
      </c>
      <c r="AA111">
        <v>20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2025</v>
      </c>
      <c r="B112" t="s">
        <v>289</v>
      </c>
      <c r="C112" t="s">
        <v>33</v>
      </c>
      <c r="D112" t="str" cm="1">
        <f t="array" ref="D112">_xlfn.XLOOKUP(1,('26 WR'!A:A=E112)*('26 WR'!B:B=F112),'26 WR'!C:C)</f>
        <v>Jaydon Blue</v>
      </c>
      <c r="E112" t="s">
        <v>23</v>
      </c>
      <c r="F112">
        <v>71</v>
      </c>
      <c r="G112">
        <v>235</v>
      </c>
      <c r="H112">
        <v>1.2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10.4</v>
      </c>
      <c r="P112">
        <v>0</v>
      </c>
      <c r="Q112">
        <v>0.7</v>
      </c>
      <c r="R112">
        <v>3.4</v>
      </c>
      <c r="S112">
        <v>0.8</v>
      </c>
      <c r="T112">
        <v>0</v>
      </c>
      <c r="U112">
        <v>0.4</v>
      </c>
      <c r="V112">
        <v>5.7</v>
      </c>
      <c r="W112">
        <v>9.6999999999999993</v>
      </c>
      <c r="X112">
        <v>1.9</v>
      </c>
      <c r="Y112">
        <v>36.199999999999996</v>
      </c>
      <c r="Z112">
        <v>3.4</v>
      </c>
      <c r="AA112">
        <v>12</v>
      </c>
      <c r="AB112">
        <v>1</v>
      </c>
      <c r="AC112">
        <v>2</v>
      </c>
      <c r="AD112">
        <v>1</v>
      </c>
      <c r="AE112">
        <v>0</v>
      </c>
      <c r="AF112">
        <v>0</v>
      </c>
      <c r="AG112">
        <v>0</v>
      </c>
      <c r="AH112">
        <v>0.11764705882352941</v>
      </c>
      <c r="AI112">
        <v>6.25E-2</v>
      </c>
      <c r="AJ112">
        <v>0</v>
      </c>
      <c r="AK112">
        <v>0</v>
      </c>
      <c r="AL112">
        <v>0</v>
      </c>
    </row>
    <row r="113" spans="1:38" x14ac:dyDescent="0.25">
      <c r="A113">
        <v>2025</v>
      </c>
      <c r="B113" t="s">
        <v>290</v>
      </c>
      <c r="C113" t="s">
        <v>78</v>
      </c>
      <c r="D113" t="str" cm="1">
        <f t="array" ref="D113">_xlfn.XLOOKUP(1,('26 WR'!A:A=E113)*('26 WR'!B:B=F113),'26 WR'!C:C)</f>
        <v>DJ Giddens</v>
      </c>
      <c r="E113" t="s">
        <v>23</v>
      </c>
      <c r="F113">
        <v>72</v>
      </c>
      <c r="G113">
        <v>236</v>
      </c>
      <c r="H113">
        <v>0.3</v>
      </c>
      <c r="I113">
        <v>9.8000000000000007</v>
      </c>
      <c r="J113">
        <v>0.8</v>
      </c>
      <c r="K113">
        <v>8.6999999999999993</v>
      </c>
      <c r="L113">
        <v>3.6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23.200000000000003</v>
      </c>
      <c r="Z113">
        <v>4.5999999999999996</v>
      </c>
      <c r="AA113">
        <v>20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2025</v>
      </c>
      <c r="B114" t="s">
        <v>291</v>
      </c>
      <c r="C114" t="s">
        <v>96</v>
      </c>
      <c r="D114" t="str" cm="1">
        <f t="array" ref="D114">_xlfn.XLOOKUP(1,('26 WR'!A:A=E114)*('26 WR'!B:B=F114),'26 WR'!C:C)</f>
        <v>Chris Brooks</v>
      </c>
      <c r="E114" t="s">
        <v>23</v>
      </c>
      <c r="F114">
        <v>73</v>
      </c>
      <c r="G114">
        <v>237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1.1000000000000001</v>
      </c>
      <c r="V114">
        <v>8</v>
      </c>
      <c r="W114">
        <v>6.6</v>
      </c>
      <c r="X114">
        <v>16.8</v>
      </c>
      <c r="Y114">
        <v>32.5</v>
      </c>
      <c r="Z114">
        <v>6.9</v>
      </c>
      <c r="AA114">
        <v>20</v>
      </c>
      <c r="AB114">
        <v>1</v>
      </c>
      <c r="AC114">
        <v>2</v>
      </c>
      <c r="AD114">
        <v>2</v>
      </c>
      <c r="AE114">
        <v>0</v>
      </c>
      <c r="AF114">
        <v>0</v>
      </c>
      <c r="AG114">
        <v>0</v>
      </c>
      <c r="AH114">
        <v>0.11764705882352941</v>
      </c>
      <c r="AI114">
        <v>0.2857142857142857</v>
      </c>
      <c r="AJ114">
        <v>0</v>
      </c>
      <c r="AK114">
        <v>0</v>
      </c>
      <c r="AL114">
        <v>0</v>
      </c>
    </row>
    <row r="115" spans="1:38" x14ac:dyDescent="0.25">
      <c r="A115">
        <v>2025</v>
      </c>
      <c r="B115" t="s">
        <v>293</v>
      </c>
      <c r="C115" t="s">
        <v>29</v>
      </c>
      <c r="D115" t="str" cm="1">
        <f t="array" ref="D115">_xlfn.XLOOKUP(1,('26 WR'!A:A=E115)*('26 WR'!B:B=F115),'26 WR'!C:C)</f>
        <v>Isaiah Davis</v>
      </c>
      <c r="E115" t="s">
        <v>23</v>
      </c>
      <c r="F115">
        <v>74</v>
      </c>
      <c r="G115">
        <v>239</v>
      </c>
      <c r="H115">
        <v>0.8</v>
      </c>
      <c r="I115">
        <v>3.3</v>
      </c>
      <c r="J115">
        <v>3.3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0.2</v>
      </c>
      <c r="Y115">
        <v>7.6</v>
      </c>
      <c r="Z115">
        <v>1.9</v>
      </c>
      <c r="AA115">
        <v>20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2025</v>
      </c>
      <c r="B116" t="s">
        <v>298</v>
      </c>
      <c r="C116" t="s">
        <v>132</v>
      </c>
      <c r="D116" t="str" cm="1">
        <f t="array" ref="D116">_xlfn.XLOOKUP(1,('26 WR'!A:A=E116)*('26 WR'!B:B=F116),'26 WR'!C:C)</f>
        <v>Seth McGowan</v>
      </c>
      <c r="E116" t="s">
        <v>23</v>
      </c>
      <c r="F116">
        <v>75</v>
      </c>
      <c r="G116">
        <v>244</v>
      </c>
      <c r="H116">
        <v>0</v>
      </c>
      <c r="I116">
        <v>10.1</v>
      </c>
      <c r="J116">
        <v>16.5</v>
      </c>
      <c r="K116">
        <v>21.5</v>
      </c>
      <c r="L116">
        <v>13.8</v>
      </c>
      <c r="M116">
        <v>3.6</v>
      </c>
      <c r="N116">
        <v>26.4</v>
      </c>
      <c r="O116">
        <v>4.7</v>
      </c>
      <c r="P116">
        <v>0</v>
      </c>
      <c r="Q116">
        <v>10.5</v>
      </c>
      <c r="R116">
        <v>5.9</v>
      </c>
      <c r="S116">
        <v>16.7</v>
      </c>
      <c r="T116">
        <v>15.9</v>
      </c>
      <c r="U116">
        <v>9.4</v>
      </c>
      <c r="V116">
        <v>4.7</v>
      </c>
      <c r="W116">
        <v>10.1</v>
      </c>
      <c r="X116">
        <v>0</v>
      </c>
      <c r="Y116">
        <v>169.8</v>
      </c>
      <c r="Z116">
        <v>12.1</v>
      </c>
      <c r="AA116">
        <v>12</v>
      </c>
      <c r="AB116">
        <v>1</v>
      </c>
      <c r="AC116">
        <v>9</v>
      </c>
      <c r="AD116">
        <v>5</v>
      </c>
      <c r="AE116">
        <v>2</v>
      </c>
      <c r="AF116">
        <v>1</v>
      </c>
      <c r="AG116">
        <v>0</v>
      </c>
      <c r="AH116">
        <v>0.52941176470588236</v>
      </c>
      <c r="AI116">
        <v>0.35714285714285715</v>
      </c>
      <c r="AJ116">
        <v>0.14285714285714285</v>
      </c>
      <c r="AK116">
        <v>7.1428571428571425E-2</v>
      </c>
      <c r="AL116">
        <v>0</v>
      </c>
    </row>
    <row r="117" spans="1:38" x14ac:dyDescent="0.25">
      <c r="A117">
        <v>2025</v>
      </c>
      <c r="B117" t="s">
        <v>302</v>
      </c>
      <c r="C117" t="s">
        <v>108</v>
      </c>
      <c r="D117" t="str" cm="1">
        <f t="array" ref="D117">_xlfn.XLOOKUP(1,('26 WR'!A:A=E117)*('26 WR'!B:B=F117),'26 WR'!C:C)</f>
        <v>Malik Davis</v>
      </c>
      <c r="E117" t="s">
        <v>23</v>
      </c>
      <c r="F117">
        <v>76</v>
      </c>
      <c r="G117">
        <v>248</v>
      </c>
      <c r="H117">
        <v>5.3</v>
      </c>
      <c r="I117">
        <v>6.6</v>
      </c>
      <c r="J117">
        <v>9.6</v>
      </c>
      <c r="K117">
        <v>31.4</v>
      </c>
      <c r="L117">
        <v>0</v>
      </c>
      <c r="M117">
        <v>9.6</v>
      </c>
      <c r="N117">
        <v>3.5</v>
      </c>
      <c r="O117">
        <v>3.5</v>
      </c>
      <c r="P117">
        <v>7.4</v>
      </c>
      <c r="Q117">
        <v>2.4</v>
      </c>
      <c r="R117">
        <v>29.5</v>
      </c>
      <c r="S117">
        <v>18.2</v>
      </c>
      <c r="T117">
        <v>6.5</v>
      </c>
      <c r="U117">
        <v>16.2</v>
      </c>
      <c r="V117">
        <v>19.600000000000001</v>
      </c>
      <c r="W117">
        <v>23.8</v>
      </c>
      <c r="X117">
        <v>6.8</v>
      </c>
      <c r="Y117">
        <v>199.9</v>
      </c>
      <c r="Z117">
        <v>13</v>
      </c>
      <c r="AA117">
        <v>20</v>
      </c>
      <c r="AB117">
        <v>1</v>
      </c>
      <c r="AC117">
        <v>7</v>
      </c>
      <c r="AD117">
        <v>7</v>
      </c>
      <c r="AE117">
        <v>4</v>
      </c>
      <c r="AF117">
        <v>2</v>
      </c>
      <c r="AG117">
        <v>1</v>
      </c>
      <c r="AH117">
        <v>0.41176470588235292</v>
      </c>
      <c r="AI117">
        <v>0.41176470588235292</v>
      </c>
      <c r="AJ117">
        <v>0.23529411764705882</v>
      </c>
      <c r="AK117">
        <v>0.11764705882352941</v>
      </c>
      <c r="AL117">
        <v>5.8823529411764705E-2</v>
      </c>
    </row>
    <row r="118" spans="1:38" x14ac:dyDescent="0.25">
      <c r="A118">
        <v>2025</v>
      </c>
      <c r="B118" t="s">
        <v>305</v>
      </c>
      <c r="C118" t="s">
        <v>51</v>
      </c>
      <c r="D118" t="str" cm="1">
        <f t="array" ref="D118">_xlfn.XLOOKUP(1,('26 WR'!A:A=E118)*('26 WR'!B:B=F118),'26 WR'!C:C)</f>
        <v>Samaje Perine</v>
      </c>
      <c r="E118" t="s">
        <v>23</v>
      </c>
      <c r="F118">
        <v>77</v>
      </c>
      <c r="G118">
        <v>251</v>
      </c>
      <c r="H118">
        <v>2.1</v>
      </c>
      <c r="I118">
        <v>1.3</v>
      </c>
      <c r="J118">
        <v>1.9</v>
      </c>
      <c r="K118">
        <v>1.7</v>
      </c>
      <c r="L118">
        <v>0</v>
      </c>
      <c r="M118">
        <v>2.2000000000000002</v>
      </c>
      <c r="N118">
        <v>1.4</v>
      </c>
      <c r="O118">
        <v>0</v>
      </c>
      <c r="P118">
        <v>2.1</v>
      </c>
      <c r="Q118">
        <v>1.6</v>
      </c>
      <c r="R118">
        <v>3.6</v>
      </c>
      <c r="S118">
        <v>0.2</v>
      </c>
      <c r="T118">
        <v>0</v>
      </c>
      <c r="U118">
        <v>2.8</v>
      </c>
      <c r="V118">
        <v>2.6</v>
      </c>
      <c r="W118">
        <v>1</v>
      </c>
      <c r="X118">
        <v>0.3</v>
      </c>
      <c r="Y118">
        <v>24.800000000000004</v>
      </c>
      <c r="Z118">
        <v>1.5</v>
      </c>
      <c r="AA118">
        <v>20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2025</v>
      </c>
      <c r="B119" t="s">
        <v>306</v>
      </c>
      <c r="C119" t="s">
        <v>78</v>
      </c>
      <c r="D119" t="str" cm="1">
        <f t="array" ref="D119">_xlfn.XLOOKUP(1,('26 WR'!A:A=E119)*('26 WR'!B:B=F119),'26 WR'!C:C)</f>
        <v>Trey Benson</v>
      </c>
      <c r="E119" t="s">
        <v>23</v>
      </c>
      <c r="F119">
        <v>78</v>
      </c>
      <c r="G119">
        <v>252</v>
      </c>
      <c r="H119">
        <v>4.7</v>
      </c>
      <c r="I119">
        <v>21.2</v>
      </c>
      <c r="J119">
        <v>4.5999999999999996</v>
      </c>
      <c r="K119">
        <v>5.0999999999999996</v>
      </c>
      <c r="L119">
        <v>14.7</v>
      </c>
      <c r="M119">
        <v>1.8</v>
      </c>
      <c r="N119">
        <v>16.8</v>
      </c>
      <c r="O119">
        <v>5.9</v>
      </c>
      <c r="P119">
        <v>0</v>
      </c>
      <c r="Q119">
        <v>0</v>
      </c>
      <c r="R119">
        <v>0</v>
      </c>
      <c r="S119">
        <v>2</v>
      </c>
      <c r="T119">
        <v>11</v>
      </c>
      <c r="U119">
        <v>0</v>
      </c>
      <c r="V119">
        <v>10.7</v>
      </c>
      <c r="W119">
        <v>17.8</v>
      </c>
      <c r="X119">
        <v>27.2</v>
      </c>
      <c r="Y119">
        <v>143.5</v>
      </c>
      <c r="Z119">
        <v>12.8</v>
      </c>
      <c r="AA119">
        <v>12</v>
      </c>
      <c r="AB119">
        <v>1</v>
      </c>
      <c r="AC119">
        <v>8</v>
      </c>
      <c r="AD119">
        <v>5</v>
      </c>
      <c r="AE119">
        <v>3</v>
      </c>
      <c r="AF119">
        <v>2</v>
      </c>
      <c r="AG119">
        <v>1</v>
      </c>
      <c r="AH119">
        <v>0.47058823529411764</v>
      </c>
      <c r="AI119">
        <v>0.35714285714285715</v>
      </c>
      <c r="AJ119">
        <v>0.21428571428571427</v>
      </c>
      <c r="AK119">
        <v>0.14285714285714285</v>
      </c>
      <c r="AL119">
        <v>7.1428571428571425E-2</v>
      </c>
    </row>
    <row r="120" spans="1:38" x14ac:dyDescent="0.25">
      <c r="A120">
        <v>2025</v>
      </c>
      <c r="B120" t="s">
        <v>311</v>
      </c>
      <c r="C120" t="s">
        <v>65</v>
      </c>
      <c r="D120" t="str" cm="1">
        <f t="array" ref="D120">_xlfn.XLOOKUP(1,('26 WR'!A:A=E120)*('26 WR'!B:B=F120),'26 WR'!C:C)</f>
        <v>Demond Claiborne</v>
      </c>
      <c r="E120" t="s">
        <v>23</v>
      </c>
      <c r="F120">
        <v>79</v>
      </c>
      <c r="G120">
        <v>257</v>
      </c>
      <c r="H120">
        <v>0</v>
      </c>
      <c r="I120">
        <v>0</v>
      </c>
      <c r="J120">
        <v>0</v>
      </c>
      <c r="K120">
        <v>0</v>
      </c>
      <c r="L120">
        <v>2.5</v>
      </c>
      <c r="M120">
        <v>3.3</v>
      </c>
      <c r="N120">
        <v>2.5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</v>
      </c>
      <c r="X120">
        <v>0</v>
      </c>
      <c r="Y120">
        <v>9.7000000000000011</v>
      </c>
      <c r="Z120">
        <v>0.8</v>
      </c>
      <c r="AA120">
        <v>20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2025</v>
      </c>
      <c r="B121" t="s">
        <v>313</v>
      </c>
      <c r="C121" t="s">
        <v>65</v>
      </c>
      <c r="D121" t="str" cm="1">
        <f t="array" ref="D121">_xlfn.XLOOKUP(1,('26 WR'!A:A=E121)*('26 WR'!B:B=F121),'26 WR'!C:C)</f>
        <v>LeQuint Allen Jr.</v>
      </c>
      <c r="E121" t="s">
        <v>23</v>
      </c>
      <c r="F121">
        <v>80</v>
      </c>
      <c r="G121">
        <v>259</v>
      </c>
      <c r="H121">
        <v>0</v>
      </c>
      <c r="I121">
        <v>0</v>
      </c>
      <c r="J121">
        <v>0</v>
      </c>
      <c r="K121">
        <v>0</v>
      </c>
      <c r="L121">
        <v>2.9</v>
      </c>
      <c r="M121">
        <v>22.8</v>
      </c>
      <c r="N121">
        <v>7.5</v>
      </c>
      <c r="O121">
        <v>19.7</v>
      </c>
      <c r="P121">
        <v>3</v>
      </c>
      <c r="Q121">
        <v>17.8</v>
      </c>
      <c r="R121">
        <v>3.2</v>
      </c>
      <c r="S121">
        <v>0</v>
      </c>
      <c r="T121">
        <v>20.7</v>
      </c>
      <c r="U121">
        <v>11.4</v>
      </c>
      <c r="V121">
        <v>5.8</v>
      </c>
      <c r="W121">
        <v>1.1000000000000001</v>
      </c>
      <c r="X121">
        <v>0</v>
      </c>
      <c r="Y121">
        <v>115.9</v>
      </c>
      <c r="Z121">
        <v>9.1</v>
      </c>
      <c r="AA121">
        <v>20</v>
      </c>
      <c r="AB121">
        <v>1</v>
      </c>
      <c r="AC121">
        <v>5</v>
      </c>
      <c r="AD121">
        <v>4</v>
      </c>
      <c r="AE121">
        <v>2</v>
      </c>
      <c r="AF121">
        <v>0</v>
      </c>
      <c r="AG121">
        <v>0</v>
      </c>
      <c r="AH121">
        <v>0.29411764705882354</v>
      </c>
      <c r="AI121">
        <v>0.30769230769230771</v>
      </c>
      <c r="AJ121">
        <v>0.15384615384615385</v>
      </c>
      <c r="AK121">
        <v>0</v>
      </c>
      <c r="AL121">
        <v>0</v>
      </c>
    </row>
    <row r="122" spans="1:38" x14ac:dyDescent="0.25">
      <c r="A122">
        <v>2025</v>
      </c>
      <c r="B122" t="s">
        <v>314</v>
      </c>
      <c r="C122" t="s">
        <v>35</v>
      </c>
      <c r="D122" t="str" cm="1">
        <f t="array" ref="D122">_xlfn.XLOOKUP(1,('26 WR'!A:A=E122)*('26 WR'!B:B=F122),'26 WR'!C:C)</f>
        <v>Kaleb Johnson</v>
      </c>
      <c r="E122" t="s">
        <v>23</v>
      </c>
      <c r="F122">
        <v>81</v>
      </c>
      <c r="G122">
        <v>260</v>
      </c>
      <c r="H122">
        <v>0</v>
      </c>
      <c r="I122">
        <v>0</v>
      </c>
      <c r="J122">
        <v>0</v>
      </c>
      <c r="K122">
        <v>0</v>
      </c>
      <c r="L122">
        <v>0.7</v>
      </c>
      <c r="M122">
        <v>0</v>
      </c>
      <c r="N122">
        <v>4.4000000000000004</v>
      </c>
      <c r="O122">
        <v>2.9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8</v>
      </c>
      <c r="Z122">
        <v>4.0999999999999996</v>
      </c>
      <c r="AA122">
        <v>20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5.8823529411764705E-2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2025</v>
      </c>
      <c r="B123" t="s">
        <v>316</v>
      </c>
      <c r="C123" t="s">
        <v>45</v>
      </c>
      <c r="D123" t="str" cm="1">
        <f t="array" ref="D123">_xlfn.XLOOKUP(1,('26 WR'!A:A=E123)*('26 WR'!B:B=F123),'26 WR'!C:C)</f>
        <v>Jordan James</v>
      </c>
      <c r="E123" t="s">
        <v>23</v>
      </c>
      <c r="F123">
        <v>82</v>
      </c>
      <c r="G123">
        <v>262</v>
      </c>
      <c r="H123">
        <v>8.5</v>
      </c>
      <c r="I123">
        <v>8.4</v>
      </c>
      <c r="J123">
        <v>8.1</v>
      </c>
      <c r="K123">
        <v>10.4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35.4</v>
      </c>
      <c r="Z123">
        <v>7.1</v>
      </c>
      <c r="AA123">
        <v>20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5.8823529411764705E-2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2025</v>
      </c>
      <c r="B124" t="s">
        <v>318</v>
      </c>
      <c r="C124" t="s">
        <v>51</v>
      </c>
      <c r="D124" t="str" cm="1">
        <f t="array" ref="D124">_xlfn.XLOOKUP(1,('26 WR'!A:A=E124)*('26 WR'!B:B=F124),'26 WR'!C:C)</f>
        <v>George Holani</v>
      </c>
      <c r="E124" t="s">
        <v>23</v>
      </c>
      <c r="F124">
        <v>83</v>
      </c>
      <c r="G124">
        <v>264</v>
      </c>
      <c r="H124">
        <v>1.1000000000000001</v>
      </c>
      <c r="I124">
        <v>15.4</v>
      </c>
      <c r="J124">
        <v>8.1</v>
      </c>
      <c r="K124">
        <v>3.2</v>
      </c>
      <c r="L124">
        <v>2.1</v>
      </c>
      <c r="M124">
        <v>4.8</v>
      </c>
      <c r="N124">
        <v>2.2000000000000002</v>
      </c>
      <c r="O124">
        <v>0</v>
      </c>
      <c r="P124">
        <v>9.6</v>
      </c>
      <c r="Q124">
        <v>2</v>
      </c>
      <c r="R124">
        <v>13.4</v>
      </c>
      <c r="S124">
        <v>1.7</v>
      </c>
      <c r="T124">
        <v>8.9</v>
      </c>
      <c r="U124">
        <v>1.5</v>
      </c>
      <c r="V124">
        <v>9.3000000000000007</v>
      </c>
      <c r="W124">
        <v>0</v>
      </c>
      <c r="X124">
        <v>0</v>
      </c>
      <c r="Y124">
        <v>83.300000000000011</v>
      </c>
      <c r="Z124">
        <v>5.9</v>
      </c>
      <c r="AA124">
        <v>12</v>
      </c>
      <c r="AB124">
        <v>1</v>
      </c>
      <c r="AC124">
        <v>2</v>
      </c>
      <c r="AD124">
        <v>1</v>
      </c>
      <c r="AE124">
        <v>0</v>
      </c>
      <c r="AF124">
        <v>0</v>
      </c>
      <c r="AG124">
        <v>0</v>
      </c>
      <c r="AH124">
        <v>0.11764705882352941</v>
      </c>
      <c r="AI124">
        <v>6.6666666666666666E-2</v>
      </c>
      <c r="AJ124">
        <v>0</v>
      </c>
      <c r="AK124">
        <v>0</v>
      </c>
      <c r="AL124">
        <v>0</v>
      </c>
    </row>
    <row r="125" spans="1:38" x14ac:dyDescent="0.25">
      <c r="A125">
        <v>2025</v>
      </c>
      <c r="B125" t="s">
        <v>320</v>
      </c>
      <c r="C125" t="s">
        <v>45</v>
      </c>
      <c r="D125" t="str" cm="1">
        <f t="array" ref="D125">_xlfn.XLOOKUP(1,('26 WR'!A:A=E125)*('26 WR'!B:B=F125),'26 WR'!C:C)</f>
        <v>Brashard Smith</v>
      </c>
      <c r="E125" t="s">
        <v>23</v>
      </c>
      <c r="F125">
        <v>84</v>
      </c>
      <c r="G125">
        <v>266</v>
      </c>
      <c r="H125">
        <v>0</v>
      </c>
      <c r="I125">
        <v>0</v>
      </c>
      <c r="J125">
        <v>0</v>
      </c>
      <c r="K125">
        <v>0.1</v>
      </c>
      <c r="L125">
        <v>18.3</v>
      </c>
      <c r="M125">
        <v>8.4</v>
      </c>
      <c r="N125">
        <v>5.6</v>
      </c>
      <c r="O125">
        <v>0</v>
      </c>
      <c r="P125">
        <v>0</v>
      </c>
      <c r="Q125">
        <v>0.4</v>
      </c>
      <c r="R125">
        <v>7.8</v>
      </c>
      <c r="S125">
        <v>8.8000000000000007</v>
      </c>
      <c r="T125">
        <v>11.4</v>
      </c>
      <c r="U125">
        <v>5.0999999999999996</v>
      </c>
      <c r="V125">
        <v>13.4</v>
      </c>
      <c r="W125">
        <v>6.5</v>
      </c>
      <c r="X125">
        <v>6.3</v>
      </c>
      <c r="Y125">
        <v>92.100000000000009</v>
      </c>
      <c r="Z125">
        <v>7.6</v>
      </c>
      <c r="AA125">
        <v>20</v>
      </c>
      <c r="AB125">
        <v>1</v>
      </c>
      <c r="AC125">
        <v>3</v>
      </c>
      <c r="AD125">
        <v>1</v>
      </c>
      <c r="AE125">
        <v>0</v>
      </c>
      <c r="AF125">
        <v>0</v>
      </c>
      <c r="AG125">
        <v>0</v>
      </c>
      <c r="AH125">
        <v>0.17647058823529413</v>
      </c>
      <c r="AI125">
        <v>7.6923076923076927E-2</v>
      </c>
      <c r="AJ125">
        <v>0</v>
      </c>
      <c r="AK125">
        <v>0</v>
      </c>
      <c r="AL125">
        <v>0</v>
      </c>
    </row>
    <row r="126" spans="1:38" x14ac:dyDescent="0.25">
      <c r="A126">
        <v>2025</v>
      </c>
      <c r="B126" t="s">
        <v>321</v>
      </c>
      <c r="C126" t="s">
        <v>41</v>
      </c>
      <c r="D126" t="str" cm="1">
        <f t="array" ref="D126">_xlfn.XLOOKUP(1,('26 WR'!A:A=E126)*('26 WR'!B:B=F126),'26 WR'!C:C)</f>
        <v>Devin Singletary</v>
      </c>
      <c r="E126" t="s">
        <v>23</v>
      </c>
      <c r="F126">
        <v>85</v>
      </c>
      <c r="G126">
        <v>267</v>
      </c>
      <c r="H126">
        <v>0.5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2.5</v>
      </c>
      <c r="S126">
        <v>0</v>
      </c>
      <c r="T126">
        <v>1.7</v>
      </c>
      <c r="U126">
        <v>3.3</v>
      </c>
      <c r="V126">
        <v>11.2</v>
      </c>
      <c r="W126">
        <v>2.2000000000000002</v>
      </c>
      <c r="X126">
        <v>2.8</v>
      </c>
      <c r="Y126">
        <v>24.2</v>
      </c>
      <c r="Z126">
        <v>1.6</v>
      </c>
      <c r="AA126">
        <v>20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5.8823529411764705E-2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2025</v>
      </c>
      <c r="B127" t="s">
        <v>322</v>
      </c>
      <c r="C127" t="s">
        <v>45</v>
      </c>
      <c r="D127" t="str" cm="1">
        <f t="array" ref="D127">_xlfn.XLOOKUP(1,('26 WR'!A:A=E127)*('26 WR'!B:B=F127),'26 WR'!C:C)</f>
        <v>Jerome Ford</v>
      </c>
      <c r="E127" t="s">
        <v>23</v>
      </c>
      <c r="F127">
        <v>86</v>
      </c>
      <c r="G127">
        <v>268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1.1000000000000001</v>
      </c>
      <c r="W127">
        <v>3.2</v>
      </c>
      <c r="X127">
        <v>0.2</v>
      </c>
      <c r="Y127">
        <v>4.5000000000000009</v>
      </c>
      <c r="Z127">
        <v>2.2999999999999998</v>
      </c>
      <c r="AA127">
        <v>20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2025</v>
      </c>
      <c r="B128" t="s">
        <v>323</v>
      </c>
      <c r="C128" t="s">
        <v>96</v>
      </c>
      <c r="D128" t="str" cm="1">
        <f t="array" ref="D128">_xlfn.XLOOKUP(1,('26 WR'!A:A=E128)*('26 WR'!B:B=F128),'26 WR'!C:C)</f>
        <v>Jaleel McLaughlin</v>
      </c>
      <c r="E128" t="s">
        <v>23</v>
      </c>
      <c r="F128">
        <v>87</v>
      </c>
      <c r="G128">
        <v>269</v>
      </c>
      <c r="H128">
        <v>0.9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</v>
      </c>
      <c r="O128">
        <v>4.0999999999999996</v>
      </c>
      <c r="P128">
        <v>2.2000000000000002</v>
      </c>
      <c r="Q128">
        <v>6.1</v>
      </c>
      <c r="R128">
        <v>0</v>
      </c>
      <c r="S128">
        <v>11.1</v>
      </c>
      <c r="T128">
        <v>9.9</v>
      </c>
      <c r="U128">
        <v>15.4</v>
      </c>
      <c r="V128">
        <v>10.199999999999999</v>
      </c>
      <c r="W128">
        <v>0</v>
      </c>
      <c r="X128">
        <v>0</v>
      </c>
      <c r="Y128">
        <v>60</v>
      </c>
      <c r="Z128">
        <v>6.7</v>
      </c>
      <c r="AA128">
        <v>20</v>
      </c>
      <c r="AB128">
        <v>1</v>
      </c>
      <c r="AC128">
        <v>3</v>
      </c>
      <c r="AD128">
        <v>1</v>
      </c>
      <c r="AE128">
        <v>0</v>
      </c>
      <c r="AF128">
        <v>0</v>
      </c>
      <c r="AG128">
        <v>0</v>
      </c>
      <c r="AH128">
        <v>0.17647058823529413</v>
      </c>
      <c r="AI128">
        <v>0.1111111111111111</v>
      </c>
      <c r="AJ128">
        <v>0</v>
      </c>
      <c r="AK128">
        <v>0</v>
      </c>
      <c r="AL128">
        <v>0</v>
      </c>
    </row>
    <row r="129" spans="1:38" x14ac:dyDescent="0.25">
      <c r="A129">
        <v>2025</v>
      </c>
      <c r="B129" t="s">
        <v>325</v>
      </c>
      <c r="C129" t="s">
        <v>61</v>
      </c>
      <c r="D129" t="str" cm="1">
        <f t="array" ref="D129">_xlfn.XLOOKUP(1,('26 WR'!A:A=E129)*('26 WR'!B:B=F129),'26 WR'!C:C)</f>
        <v>Kendre Miller</v>
      </c>
      <c r="E129" t="s">
        <v>23</v>
      </c>
      <c r="F129">
        <v>88</v>
      </c>
      <c r="G129">
        <v>271</v>
      </c>
      <c r="H129">
        <v>0.4</v>
      </c>
      <c r="I129">
        <v>0</v>
      </c>
      <c r="J129">
        <v>2.5</v>
      </c>
      <c r="K129">
        <v>11.1</v>
      </c>
      <c r="L129">
        <v>0</v>
      </c>
      <c r="M129">
        <v>1.7</v>
      </c>
      <c r="N129">
        <v>2.5</v>
      </c>
      <c r="O129">
        <v>11.7</v>
      </c>
      <c r="P129">
        <v>2.7</v>
      </c>
      <c r="Q129">
        <v>1.4</v>
      </c>
      <c r="R129">
        <v>13.9</v>
      </c>
      <c r="S129">
        <v>26.5</v>
      </c>
      <c r="T129">
        <v>1.4</v>
      </c>
      <c r="U129">
        <v>1</v>
      </c>
      <c r="V129">
        <v>0.3</v>
      </c>
      <c r="W129">
        <v>8.1999999999999993</v>
      </c>
      <c r="X129">
        <v>3.4</v>
      </c>
      <c r="Y129">
        <v>88.700000000000017</v>
      </c>
      <c r="Z129">
        <v>5.6</v>
      </c>
      <c r="AA129">
        <v>20</v>
      </c>
      <c r="AB129">
        <v>1</v>
      </c>
      <c r="AC129">
        <v>4</v>
      </c>
      <c r="AD129">
        <v>1</v>
      </c>
      <c r="AE129">
        <v>1</v>
      </c>
      <c r="AF129">
        <v>1</v>
      </c>
      <c r="AG129">
        <v>0</v>
      </c>
      <c r="AH129">
        <v>0.23529411764705882</v>
      </c>
      <c r="AI129">
        <v>5.8823529411764705E-2</v>
      </c>
      <c r="AJ129">
        <v>5.8823529411764705E-2</v>
      </c>
      <c r="AK129">
        <v>5.8823529411764705E-2</v>
      </c>
      <c r="AL129">
        <v>0</v>
      </c>
    </row>
    <row r="130" spans="1:38" x14ac:dyDescent="0.25">
      <c r="A130">
        <v>2025</v>
      </c>
      <c r="B130" t="s">
        <v>330</v>
      </c>
      <c r="C130" t="s">
        <v>90</v>
      </c>
      <c r="D130" t="str" cm="1">
        <f t="array" ref="D130">_xlfn.XLOOKUP(1,('26 WR'!A:A=E130)*('26 WR'!B:B=F130),'26 WR'!C:C)</f>
        <v>Emari Demercado</v>
      </c>
      <c r="E130" t="s">
        <v>23</v>
      </c>
      <c r="F130">
        <v>89</v>
      </c>
      <c r="G130">
        <v>276</v>
      </c>
      <c r="H130">
        <v>1.8</v>
      </c>
      <c r="I130">
        <v>1.6</v>
      </c>
      <c r="J130">
        <v>0</v>
      </c>
      <c r="K130">
        <v>4.7</v>
      </c>
      <c r="L130">
        <v>6.3</v>
      </c>
      <c r="M130">
        <v>1.1000000000000001</v>
      </c>
      <c r="N130">
        <v>5.2</v>
      </c>
      <c r="O130">
        <v>17.899999999999999</v>
      </c>
      <c r="P130">
        <v>0</v>
      </c>
      <c r="Q130">
        <v>2.1</v>
      </c>
      <c r="R130">
        <v>1.1000000000000001</v>
      </c>
      <c r="S130">
        <v>0.7</v>
      </c>
      <c r="T130">
        <v>0</v>
      </c>
      <c r="U130">
        <v>2.2000000000000002</v>
      </c>
      <c r="V130">
        <v>13.5</v>
      </c>
      <c r="W130">
        <v>10</v>
      </c>
      <c r="X130">
        <v>3</v>
      </c>
      <c r="Y130">
        <v>71.200000000000017</v>
      </c>
      <c r="Z130">
        <v>4.5</v>
      </c>
      <c r="AA130">
        <v>20</v>
      </c>
      <c r="AB130">
        <v>1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0.11764705882352941</v>
      </c>
      <c r="AI130">
        <v>6.25E-2</v>
      </c>
      <c r="AJ130">
        <v>0</v>
      </c>
      <c r="AK130">
        <v>0</v>
      </c>
      <c r="AL130">
        <v>0</v>
      </c>
    </row>
    <row r="131" spans="1:38" x14ac:dyDescent="0.25">
      <c r="A131">
        <v>2025</v>
      </c>
      <c r="B131" t="s">
        <v>332</v>
      </c>
      <c r="C131" t="s">
        <v>61</v>
      </c>
      <c r="D131" t="str" cm="1">
        <f t="array" ref="D131">_xlfn.XLOOKUP(1,('26 WR'!A:A=E131)*('26 WR'!B:B=F131),'26 WR'!C:C)</f>
        <v>Najee Harris</v>
      </c>
      <c r="E131" t="s">
        <v>23</v>
      </c>
      <c r="F131">
        <v>90</v>
      </c>
      <c r="G131">
        <v>278</v>
      </c>
      <c r="H131">
        <v>1.3</v>
      </c>
      <c r="I131">
        <v>5.7</v>
      </c>
      <c r="J131">
        <v>0</v>
      </c>
      <c r="K131">
        <v>1.1000000000000001</v>
      </c>
      <c r="L131">
        <v>0</v>
      </c>
      <c r="M131">
        <v>0.1</v>
      </c>
      <c r="N131">
        <v>0</v>
      </c>
      <c r="O131">
        <v>0</v>
      </c>
      <c r="P131">
        <v>4.4000000000000004</v>
      </c>
      <c r="Q131">
        <v>0</v>
      </c>
      <c r="R131">
        <v>0.8</v>
      </c>
      <c r="S131">
        <v>3.6</v>
      </c>
      <c r="T131">
        <v>2.9</v>
      </c>
      <c r="U131">
        <v>1.6</v>
      </c>
      <c r="V131">
        <v>2.6</v>
      </c>
      <c r="W131">
        <v>0.4</v>
      </c>
      <c r="X131">
        <v>2.1</v>
      </c>
      <c r="Y131">
        <v>26.6</v>
      </c>
      <c r="Z131">
        <v>1.9</v>
      </c>
      <c r="AA131">
        <v>20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2025</v>
      </c>
      <c r="B132" t="s">
        <v>334</v>
      </c>
      <c r="C132" t="s">
        <v>68</v>
      </c>
      <c r="D132" t="str" cm="1">
        <f t="array" ref="D132">_xlfn.XLOOKUP(1,('26 WR'!A:A=E132)*('26 WR'!B:B=F132),'26 WR'!C:C)</f>
        <v>Trevor Etienne</v>
      </c>
      <c r="E132" t="s">
        <v>23</v>
      </c>
      <c r="F132">
        <v>91</v>
      </c>
      <c r="G132">
        <v>280</v>
      </c>
      <c r="H132">
        <v>2.4</v>
      </c>
      <c r="I132">
        <v>0.6</v>
      </c>
      <c r="J132">
        <v>3.1</v>
      </c>
      <c r="K132">
        <v>0</v>
      </c>
      <c r="L132">
        <v>1</v>
      </c>
      <c r="M132">
        <v>2.6</v>
      </c>
      <c r="N132">
        <v>0</v>
      </c>
      <c r="O132">
        <v>0.6</v>
      </c>
      <c r="P132">
        <v>10</v>
      </c>
      <c r="Q132">
        <v>4.5999999999999996</v>
      </c>
      <c r="R132">
        <v>15</v>
      </c>
      <c r="S132">
        <v>8.1999999999999993</v>
      </c>
      <c r="T132">
        <v>5.5</v>
      </c>
      <c r="U132">
        <v>5.9</v>
      </c>
      <c r="V132">
        <v>5.8</v>
      </c>
      <c r="W132">
        <v>7.6</v>
      </c>
      <c r="X132">
        <v>7.8</v>
      </c>
      <c r="Y132">
        <v>80.699999999999989</v>
      </c>
      <c r="Z132">
        <v>5.9</v>
      </c>
      <c r="AA132">
        <v>20</v>
      </c>
      <c r="AB132">
        <v>1</v>
      </c>
      <c r="AC132">
        <v>2</v>
      </c>
      <c r="AD132">
        <v>1</v>
      </c>
      <c r="AE132">
        <v>0</v>
      </c>
      <c r="AF132">
        <v>0</v>
      </c>
      <c r="AG132">
        <v>0</v>
      </c>
      <c r="AH132">
        <v>0.11764705882352941</v>
      </c>
      <c r="AI132">
        <v>5.8823529411764705E-2</v>
      </c>
      <c r="AJ132">
        <v>0</v>
      </c>
      <c r="AK132">
        <v>0</v>
      </c>
      <c r="AL132">
        <v>0</v>
      </c>
    </row>
    <row r="133" spans="1:38" x14ac:dyDescent="0.25">
      <c r="A133">
        <v>2025</v>
      </c>
      <c r="B133" t="s">
        <v>335</v>
      </c>
      <c r="C133" t="s">
        <v>74</v>
      </c>
      <c r="D133" t="str" cm="1">
        <f t="array" ref="D133">_xlfn.XLOOKUP(1,('26 WR'!A:A=E133)*('26 WR'!B:B=F133),'26 WR'!C:C)</f>
        <v>Kaelon Black</v>
      </c>
      <c r="E133" t="s">
        <v>23</v>
      </c>
      <c r="F133">
        <v>92</v>
      </c>
      <c r="G133">
        <v>281</v>
      </c>
      <c r="H133">
        <v>0</v>
      </c>
      <c r="I133">
        <v>6</v>
      </c>
      <c r="J133">
        <v>4.2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0.9</v>
      </c>
      <c r="Q133">
        <v>9.1</v>
      </c>
      <c r="R133">
        <v>0.6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20.8</v>
      </c>
      <c r="Z133">
        <v>2.1</v>
      </c>
      <c r="AA133">
        <v>20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2025</v>
      </c>
      <c r="B134" t="s">
        <v>339</v>
      </c>
      <c r="C134" t="s">
        <v>92</v>
      </c>
      <c r="D134" t="str" cm="1">
        <f t="array" ref="D134">_xlfn.XLOOKUP(1,('26 WR'!A:A=E134)*('26 WR'!B:B=F134),'26 WR'!C:C)</f>
        <v>Adam Randall</v>
      </c>
      <c r="E134" t="s">
        <v>23</v>
      </c>
      <c r="F134">
        <v>93</v>
      </c>
      <c r="G134">
        <v>285</v>
      </c>
      <c r="H134">
        <v>0.4</v>
      </c>
      <c r="I134">
        <v>1.2</v>
      </c>
      <c r="J134">
        <v>2</v>
      </c>
      <c r="K134">
        <v>3.3</v>
      </c>
      <c r="L134">
        <v>3.9</v>
      </c>
      <c r="M134">
        <v>1.7</v>
      </c>
      <c r="N134">
        <v>0</v>
      </c>
      <c r="O134">
        <v>1.6</v>
      </c>
      <c r="P134">
        <v>0</v>
      </c>
      <c r="Q134">
        <v>0</v>
      </c>
      <c r="R134">
        <v>0.2</v>
      </c>
      <c r="S134">
        <v>0</v>
      </c>
      <c r="T134">
        <v>1.4</v>
      </c>
      <c r="U134">
        <v>0</v>
      </c>
      <c r="V134">
        <v>0</v>
      </c>
      <c r="W134">
        <v>0</v>
      </c>
      <c r="X134">
        <v>0</v>
      </c>
      <c r="Y134">
        <v>15.7</v>
      </c>
      <c r="Z134">
        <v>0.7</v>
      </c>
      <c r="AA134">
        <v>20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2025</v>
      </c>
      <c r="B135" t="s">
        <v>341</v>
      </c>
      <c r="C135" t="s">
        <v>21</v>
      </c>
      <c r="D135" t="str" cm="1">
        <f t="array" ref="D135">_xlfn.XLOOKUP(1,('26 WR'!A:A=E135)*('26 WR'!B:B=F135),'26 WR'!C:C)</f>
        <v>Tahj Brooks</v>
      </c>
      <c r="E135" t="s">
        <v>23</v>
      </c>
      <c r="F135">
        <v>94</v>
      </c>
      <c r="G135">
        <v>287</v>
      </c>
      <c r="H135">
        <v>2.6</v>
      </c>
      <c r="I135">
        <v>0</v>
      </c>
      <c r="J135">
        <v>0.1</v>
      </c>
      <c r="K135">
        <v>0.4</v>
      </c>
      <c r="L135">
        <v>4.9000000000000004</v>
      </c>
      <c r="M135">
        <v>5.2</v>
      </c>
      <c r="N135">
        <v>3.1</v>
      </c>
      <c r="O135">
        <v>17</v>
      </c>
      <c r="P135">
        <v>0.5</v>
      </c>
      <c r="Q135">
        <v>0</v>
      </c>
      <c r="R135">
        <v>0</v>
      </c>
      <c r="S135">
        <v>0</v>
      </c>
      <c r="T135">
        <v>5.4</v>
      </c>
      <c r="U135">
        <v>4.8</v>
      </c>
      <c r="V135">
        <v>5.3</v>
      </c>
      <c r="W135">
        <v>12.1</v>
      </c>
      <c r="X135">
        <v>8.3000000000000007</v>
      </c>
      <c r="Y135">
        <v>69.699999999999989</v>
      </c>
      <c r="Z135">
        <v>5.2</v>
      </c>
      <c r="AA135">
        <v>20</v>
      </c>
      <c r="AB135">
        <v>1</v>
      </c>
      <c r="AC135">
        <v>2</v>
      </c>
      <c r="AD135">
        <v>1</v>
      </c>
      <c r="AE135">
        <v>0</v>
      </c>
      <c r="AF135">
        <v>0</v>
      </c>
      <c r="AG135">
        <v>0</v>
      </c>
      <c r="AH135">
        <v>0.11764705882352941</v>
      </c>
      <c r="AI135">
        <v>6.6666666666666666E-2</v>
      </c>
      <c r="AJ135">
        <v>0</v>
      </c>
      <c r="AK135">
        <v>0</v>
      </c>
      <c r="AL135">
        <v>0</v>
      </c>
    </row>
    <row r="136" spans="1:38" x14ac:dyDescent="0.25">
      <c r="A136">
        <v>2025</v>
      </c>
      <c r="B136" t="s">
        <v>350</v>
      </c>
      <c r="C136" t="s">
        <v>35</v>
      </c>
      <c r="D136" t="str" cm="1">
        <f t="array" ref="D136">_xlfn.XLOOKUP(1,('26 WR'!A:A=E136)*('26 WR'!B:B=F136),'26 WR'!C:C)</f>
        <v>Isaac Guerendo</v>
      </c>
      <c r="E136" t="s">
        <v>23</v>
      </c>
      <c r="F136">
        <v>95</v>
      </c>
      <c r="G136">
        <v>296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10.9</v>
      </c>
      <c r="AA136">
        <v>20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5.8823529411764705E-2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2025</v>
      </c>
      <c r="B137" t="s">
        <v>27</v>
      </c>
      <c r="C137" t="s">
        <v>29</v>
      </c>
      <c r="D137" t="str" cm="1">
        <f t="array" ref="D137">_xlfn.XLOOKUP(1,('26 WR'!A:A=E137)*('26 WR'!B:B=F137),'26 WR'!C:C)</f>
        <v>Trey McBride</v>
      </c>
      <c r="E137" t="s">
        <v>28</v>
      </c>
      <c r="F137">
        <v>1</v>
      </c>
      <c r="G137">
        <v>4</v>
      </c>
      <c r="H137">
        <v>17.8</v>
      </c>
      <c r="I137">
        <v>11.3</v>
      </c>
      <c r="J137">
        <v>9.8000000000000007</v>
      </c>
      <c r="K137">
        <v>12.100000000000001</v>
      </c>
      <c r="L137">
        <v>0</v>
      </c>
      <c r="M137">
        <v>0</v>
      </c>
      <c r="N137">
        <v>0</v>
      </c>
      <c r="O137">
        <v>0</v>
      </c>
      <c r="P137">
        <v>48.7</v>
      </c>
      <c r="Q137">
        <v>4.5999999999999996</v>
      </c>
      <c r="R137">
        <v>17.7</v>
      </c>
      <c r="S137">
        <v>14.5</v>
      </c>
      <c r="T137">
        <v>24.3</v>
      </c>
      <c r="U137">
        <v>16.600000000000001</v>
      </c>
      <c r="V137">
        <v>11.8</v>
      </c>
      <c r="W137">
        <v>16.8</v>
      </c>
      <c r="X137">
        <v>0</v>
      </c>
      <c r="Y137">
        <v>206.00000000000003</v>
      </c>
      <c r="Z137">
        <v>14.7</v>
      </c>
      <c r="AA137">
        <v>2</v>
      </c>
      <c r="AB137">
        <v>1</v>
      </c>
      <c r="AC137">
        <v>7</v>
      </c>
      <c r="AD137">
        <v>3</v>
      </c>
      <c r="AE137">
        <v>2</v>
      </c>
      <c r="AF137">
        <v>1</v>
      </c>
      <c r="AG137">
        <v>1</v>
      </c>
      <c r="AH137">
        <v>0.41176470588235292</v>
      </c>
      <c r="AI137">
        <v>0.25</v>
      </c>
      <c r="AJ137">
        <v>0.16666666666666666</v>
      </c>
      <c r="AK137">
        <v>8.3333333333333329E-2</v>
      </c>
      <c r="AL137">
        <v>8.3333333333333329E-2</v>
      </c>
    </row>
    <row r="138" spans="1:38" x14ac:dyDescent="0.25">
      <c r="A138">
        <v>2025</v>
      </c>
      <c r="B138" t="s">
        <v>44</v>
      </c>
      <c r="C138" t="s">
        <v>45</v>
      </c>
      <c r="D138" t="str" cm="1">
        <f t="array" ref="D138">_xlfn.XLOOKUP(1,('26 WR'!A:A=E138)*('26 WR'!B:B=F138),'26 WR'!C:C)</f>
        <v>Brock Bowers</v>
      </c>
      <c r="E138" t="s">
        <v>28</v>
      </c>
      <c r="F138">
        <v>2</v>
      </c>
      <c r="G138">
        <v>12</v>
      </c>
      <c r="H138">
        <v>15.100000000000001</v>
      </c>
      <c r="I138">
        <v>16.8</v>
      </c>
      <c r="J138">
        <v>17.8</v>
      </c>
      <c r="K138">
        <v>15.7</v>
      </c>
      <c r="L138">
        <v>11.600000000000001</v>
      </c>
      <c r="M138">
        <v>25.2</v>
      </c>
      <c r="N138">
        <v>34.4</v>
      </c>
      <c r="O138">
        <v>0</v>
      </c>
      <c r="P138">
        <v>19</v>
      </c>
      <c r="Q138">
        <v>32.200000000000003</v>
      </c>
      <c r="R138">
        <v>32.5</v>
      </c>
      <c r="S138">
        <v>21.4</v>
      </c>
      <c r="T138">
        <v>26.200000000000003</v>
      </c>
      <c r="U138">
        <v>13.3</v>
      </c>
      <c r="V138">
        <v>43.4</v>
      </c>
      <c r="W138">
        <v>8.6999999999999993</v>
      </c>
      <c r="X138">
        <v>28.6</v>
      </c>
      <c r="Y138">
        <v>361.90000000000003</v>
      </c>
      <c r="Z138">
        <v>18.600000000000001</v>
      </c>
      <c r="AA138">
        <v>3</v>
      </c>
      <c r="AB138">
        <v>1</v>
      </c>
      <c r="AC138">
        <v>15</v>
      </c>
      <c r="AD138">
        <v>10</v>
      </c>
      <c r="AE138">
        <v>7</v>
      </c>
      <c r="AF138">
        <v>4</v>
      </c>
      <c r="AG138">
        <v>1</v>
      </c>
      <c r="AH138">
        <v>0.88235294117647056</v>
      </c>
      <c r="AI138">
        <v>0.58823529411764708</v>
      </c>
      <c r="AJ138">
        <v>0.41176470588235292</v>
      </c>
      <c r="AK138">
        <v>0.23529411764705882</v>
      </c>
      <c r="AL138">
        <v>5.8823529411764705E-2</v>
      </c>
    </row>
    <row r="139" spans="1:38" x14ac:dyDescent="0.25">
      <c r="A139">
        <v>2025</v>
      </c>
      <c r="B139" t="s">
        <v>63</v>
      </c>
      <c r="C139" t="s">
        <v>26</v>
      </c>
      <c r="D139" t="str" cm="1">
        <f t="array" ref="D139">_xlfn.XLOOKUP(1,('26 WR'!A:A=E139)*('26 WR'!B:B=F139),'26 WR'!C:C)</f>
        <v>Colston Loveland</v>
      </c>
      <c r="E139" t="s">
        <v>28</v>
      </c>
      <c r="F139">
        <v>3</v>
      </c>
      <c r="G139">
        <v>24</v>
      </c>
      <c r="H139">
        <v>14.5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16.3</v>
      </c>
      <c r="P139">
        <v>9.1999999999999993</v>
      </c>
      <c r="Q139">
        <v>27.9</v>
      </c>
      <c r="R139">
        <v>27.7</v>
      </c>
      <c r="S139">
        <v>16.8</v>
      </c>
      <c r="T139">
        <v>12.7</v>
      </c>
      <c r="U139">
        <v>0</v>
      </c>
      <c r="V139">
        <v>26.8</v>
      </c>
      <c r="W139">
        <v>28</v>
      </c>
      <c r="X139">
        <v>0</v>
      </c>
      <c r="Y139">
        <v>179.9</v>
      </c>
      <c r="Z139">
        <v>14.7</v>
      </c>
      <c r="AA139">
        <v>3</v>
      </c>
      <c r="AB139">
        <v>1</v>
      </c>
      <c r="AC139">
        <v>8</v>
      </c>
      <c r="AD139">
        <v>4</v>
      </c>
      <c r="AE139">
        <v>4</v>
      </c>
      <c r="AF139">
        <v>0</v>
      </c>
      <c r="AG139">
        <v>0</v>
      </c>
      <c r="AH139">
        <v>0.47058823529411764</v>
      </c>
      <c r="AI139">
        <v>0.36363636363636365</v>
      </c>
      <c r="AJ139">
        <v>0.36363636363636365</v>
      </c>
      <c r="AK139">
        <v>0</v>
      </c>
      <c r="AL139">
        <v>0</v>
      </c>
    </row>
    <row r="140" spans="1:38" x14ac:dyDescent="0.25">
      <c r="A140">
        <v>2025</v>
      </c>
      <c r="B140" t="s">
        <v>94</v>
      </c>
      <c r="C140" t="s">
        <v>37</v>
      </c>
      <c r="D140" t="str" cm="1">
        <f t="array" ref="D140">_xlfn.XLOOKUP(1,('26 WR'!A:A=E140)*('26 WR'!B:B=F140),'26 WR'!C:C)</f>
        <v>Tyler Warren</v>
      </c>
      <c r="E140" t="s">
        <v>28</v>
      </c>
      <c r="F140">
        <v>4</v>
      </c>
      <c r="G140">
        <v>46</v>
      </c>
      <c r="H140">
        <v>16.899999999999999</v>
      </c>
      <c r="I140">
        <v>7.1</v>
      </c>
      <c r="J140">
        <v>9.3000000000000007</v>
      </c>
      <c r="K140">
        <v>8.4</v>
      </c>
      <c r="L140">
        <v>22.700000000000003</v>
      </c>
      <c r="M140">
        <v>19</v>
      </c>
      <c r="N140">
        <v>6</v>
      </c>
      <c r="O140">
        <v>0</v>
      </c>
      <c r="P140">
        <v>24.700000000000003</v>
      </c>
      <c r="Q140">
        <v>12.8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126.9</v>
      </c>
      <c r="Z140">
        <v>11.9</v>
      </c>
      <c r="AA140">
        <v>6</v>
      </c>
      <c r="AB140">
        <v>1</v>
      </c>
      <c r="AC140">
        <v>5</v>
      </c>
      <c r="AD140">
        <v>3</v>
      </c>
      <c r="AE140">
        <v>2</v>
      </c>
      <c r="AF140">
        <v>0</v>
      </c>
      <c r="AG140">
        <v>0</v>
      </c>
      <c r="AH140">
        <v>0.29411764705882354</v>
      </c>
      <c r="AI140">
        <v>0.33333333333333331</v>
      </c>
      <c r="AJ140">
        <v>0.22222222222222221</v>
      </c>
      <c r="AK140">
        <v>0</v>
      </c>
      <c r="AL140">
        <v>0</v>
      </c>
    </row>
    <row r="141" spans="1:38" x14ac:dyDescent="0.25">
      <c r="A141">
        <v>2025</v>
      </c>
      <c r="B141" t="s">
        <v>100</v>
      </c>
      <c r="C141" t="s">
        <v>85</v>
      </c>
      <c r="D141" t="str" cm="1">
        <f t="array" ref="D141">_xlfn.XLOOKUP(1,('26 WR'!A:A=E141)*('26 WR'!B:B=F141),'26 WR'!C:C)</f>
        <v>Harold Fannin Jr.</v>
      </c>
      <c r="E141" t="s">
        <v>28</v>
      </c>
      <c r="F141">
        <v>5</v>
      </c>
      <c r="G141">
        <v>50</v>
      </c>
      <c r="H141">
        <v>13.7</v>
      </c>
      <c r="I141">
        <v>12.100000000000001</v>
      </c>
      <c r="J141">
        <v>8.6</v>
      </c>
      <c r="K141">
        <v>12.3</v>
      </c>
      <c r="L141">
        <v>22.6</v>
      </c>
      <c r="M141">
        <v>16.8</v>
      </c>
      <c r="N141">
        <v>9.9</v>
      </c>
      <c r="O141">
        <v>24.9</v>
      </c>
      <c r="P141">
        <v>12.600000000000001</v>
      </c>
      <c r="Q141">
        <v>0</v>
      </c>
      <c r="R141">
        <v>28.6</v>
      </c>
      <c r="S141">
        <v>10.3</v>
      </c>
      <c r="T141">
        <v>18</v>
      </c>
      <c r="U141">
        <v>2.2999999999999998</v>
      </c>
      <c r="V141">
        <v>17.5</v>
      </c>
      <c r="W141">
        <v>2.1</v>
      </c>
      <c r="X141">
        <v>11.1</v>
      </c>
      <c r="Y141">
        <v>223.4</v>
      </c>
      <c r="Z141">
        <v>11.4</v>
      </c>
      <c r="AA141">
        <v>7</v>
      </c>
      <c r="AB141">
        <v>1</v>
      </c>
      <c r="AC141">
        <v>9</v>
      </c>
      <c r="AD141">
        <v>4</v>
      </c>
      <c r="AE141">
        <v>2</v>
      </c>
      <c r="AF141">
        <v>0</v>
      </c>
      <c r="AG141">
        <v>0</v>
      </c>
      <c r="AH141">
        <v>0.52941176470588236</v>
      </c>
      <c r="AI141">
        <v>0.23529411764705882</v>
      </c>
      <c r="AJ141">
        <v>0.11764705882352941</v>
      </c>
      <c r="AK141">
        <v>0</v>
      </c>
      <c r="AL141">
        <v>0</v>
      </c>
    </row>
    <row r="142" spans="1:38" x14ac:dyDescent="0.25">
      <c r="A142">
        <v>2025</v>
      </c>
      <c r="B142" t="s">
        <v>103</v>
      </c>
      <c r="C142" t="s">
        <v>55</v>
      </c>
      <c r="D142" t="str" cm="1">
        <f t="array" ref="D142">_xlfn.XLOOKUP(1,('26 WR'!A:A=E142)*('26 WR'!B:B=F142),'26 WR'!C:C)</f>
        <v>Tucker Kraft</v>
      </c>
      <c r="E142" t="s">
        <v>28</v>
      </c>
      <c r="F142">
        <v>6</v>
      </c>
      <c r="G142">
        <v>53</v>
      </c>
      <c r="H142">
        <v>18.100000000000001</v>
      </c>
      <c r="I142">
        <v>13.9</v>
      </c>
      <c r="J142">
        <v>8.3000000000000007</v>
      </c>
      <c r="K142">
        <v>14.5</v>
      </c>
      <c r="L142">
        <v>16.399999999999999</v>
      </c>
      <c r="M142">
        <v>21.3</v>
      </c>
      <c r="N142">
        <v>18.899999999999999</v>
      </c>
      <c r="O142">
        <v>11.3</v>
      </c>
      <c r="P142">
        <v>10.1</v>
      </c>
      <c r="Q142">
        <v>21.9</v>
      </c>
      <c r="R142">
        <v>0</v>
      </c>
      <c r="S142">
        <v>12</v>
      </c>
      <c r="T142">
        <v>12.7</v>
      </c>
      <c r="U142">
        <v>4.5</v>
      </c>
      <c r="V142">
        <v>6.4</v>
      </c>
      <c r="W142">
        <v>7.5</v>
      </c>
      <c r="X142">
        <v>11.8</v>
      </c>
      <c r="Y142">
        <v>209.6</v>
      </c>
      <c r="Z142">
        <v>11.1</v>
      </c>
      <c r="AA142">
        <v>7</v>
      </c>
      <c r="AB142">
        <v>1</v>
      </c>
      <c r="AC142">
        <v>8</v>
      </c>
      <c r="AD142">
        <v>4</v>
      </c>
      <c r="AE142">
        <v>0</v>
      </c>
      <c r="AF142">
        <v>0</v>
      </c>
      <c r="AG142">
        <v>0</v>
      </c>
      <c r="AH142">
        <v>0.47058823529411764</v>
      </c>
      <c r="AI142">
        <v>0.23529411764705882</v>
      </c>
      <c r="AJ142">
        <v>0</v>
      </c>
      <c r="AK142">
        <v>0</v>
      </c>
      <c r="AL142">
        <v>0</v>
      </c>
    </row>
    <row r="143" spans="1:38" x14ac:dyDescent="0.25">
      <c r="A143">
        <v>2025</v>
      </c>
      <c r="B143" t="s">
        <v>104</v>
      </c>
      <c r="C143" t="s">
        <v>31</v>
      </c>
      <c r="D143" t="str" cm="1">
        <f t="array" ref="D143">_xlfn.XLOOKUP(1,('26 WR'!A:A=E143)*('26 WR'!B:B=F143),'26 WR'!C:C)</f>
        <v>Kyle Pitts Sr.</v>
      </c>
      <c r="E143" t="s">
        <v>28</v>
      </c>
      <c r="F143">
        <v>7</v>
      </c>
      <c r="G143">
        <v>54</v>
      </c>
      <c r="H143">
        <v>6</v>
      </c>
      <c r="I143">
        <v>2.7</v>
      </c>
      <c r="J143">
        <v>18.399999999999999</v>
      </c>
      <c r="K143">
        <v>9.9</v>
      </c>
      <c r="L143">
        <v>12.8</v>
      </c>
      <c r="M143">
        <v>0</v>
      </c>
      <c r="N143">
        <v>13.3</v>
      </c>
      <c r="O143">
        <v>5.6</v>
      </c>
      <c r="P143">
        <v>10.1</v>
      </c>
      <c r="Q143">
        <v>3.8</v>
      </c>
      <c r="R143">
        <v>8.4</v>
      </c>
      <c r="S143">
        <v>7.9</v>
      </c>
      <c r="T143">
        <v>14.9</v>
      </c>
      <c r="U143">
        <v>10.199999999999999</v>
      </c>
      <c r="V143">
        <v>12.600000000000001</v>
      </c>
      <c r="W143">
        <v>1.7</v>
      </c>
      <c r="X143">
        <v>0</v>
      </c>
      <c r="Y143">
        <v>138.29999999999998</v>
      </c>
      <c r="Z143">
        <v>7.5</v>
      </c>
      <c r="AA143">
        <v>7</v>
      </c>
      <c r="AB143">
        <v>1</v>
      </c>
      <c r="AC143">
        <v>4</v>
      </c>
      <c r="AD143">
        <v>1</v>
      </c>
      <c r="AE143">
        <v>0</v>
      </c>
      <c r="AF143">
        <v>0</v>
      </c>
      <c r="AG143">
        <v>0</v>
      </c>
      <c r="AH143">
        <v>0.23529411764705882</v>
      </c>
      <c r="AI143">
        <v>6.6666666666666666E-2</v>
      </c>
      <c r="AJ143">
        <v>0</v>
      </c>
      <c r="AK143">
        <v>0</v>
      </c>
      <c r="AL143">
        <v>0</v>
      </c>
    </row>
    <row r="144" spans="1:38" x14ac:dyDescent="0.25">
      <c r="A144">
        <v>2025</v>
      </c>
      <c r="B144" t="s">
        <v>128</v>
      </c>
      <c r="C144" t="s">
        <v>98</v>
      </c>
      <c r="D144" t="str" cm="1">
        <f t="array" ref="D144">_xlfn.XLOOKUP(1,('26 WR'!A:A=E144)*('26 WR'!B:B=F144),'26 WR'!C:C)</f>
        <v>Sam LaPorta</v>
      </c>
      <c r="E144" t="s">
        <v>28</v>
      </c>
      <c r="F144">
        <v>8</v>
      </c>
      <c r="G144">
        <v>75</v>
      </c>
      <c r="H144">
        <v>6.6</v>
      </c>
      <c r="I144">
        <v>2.7</v>
      </c>
      <c r="J144">
        <v>0</v>
      </c>
      <c r="K144">
        <v>8.9</v>
      </c>
      <c r="L144">
        <v>15.3</v>
      </c>
      <c r="M144">
        <v>11.7</v>
      </c>
      <c r="N144">
        <v>11.7</v>
      </c>
      <c r="O144">
        <v>9.6</v>
      </c>
      <c r="P144">
        <v>0</v>
      </c>
      <c r="Q144">
        <v>4.2</v>
      </c>
      <c r="R144">
        <v>9.3000000000000007</v>
      </c>
      <c r="S144">
        <v>0</v>
      </c>
      <c r="T144">
        <v>16.899999999999999</v>
      </c>
      <c r="U144">
        <v>3.8</v>
      </c>
      <c r="V144">
        <v>2.7</v>
      </c>
      <c r="W144">
        <v>6.6</v>
      </c>
      <c r="X144">
        <v>8.1</v>
      </c>
      <c r="Y144">
        <v>118.1</v>
      </c>
      <c r="Z144">
        <v>6.4</v>
      </c>
      <c r="AA144">
        <v>8</v>
      </c>
      <c r="AB144">
        <v>1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0.11764705882352941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2025</v>
      </c>
      <c r="B145" t="s">
        <v>130</v>
      </c>
      <c r="C145" t="s">
        <v>41</v>
      </c>
      <c r="D145" t="str" cm="1">
        <f t="array" ref="D145">_xlfn.XLOOKUP(1,('26 WR'!A:A=E145)*('26 WR'!B:B=F145),'26 WR'!C:C)</f>
        <v>Travis Kelce</v>
      </c>
      <c r="E145" t="s">
        <v>28</v>
      </c>
      <c r="F145">
        <v>9</v>
      </c>
      <c r="G145">
        <v>77</v>
      </c>
      <c r="H145">
        <v>2</v>
      </c>
      <c r="I145">
        <v>1.7</v>
      </c>
      <c r="J145">
        <v>30.1</v>
      </c>
      <c r="K145">
        <v>13.5</v>
      </c>
      <c r="L145">
        <v>5.2</v>
      </c>
      <c r="M145">
        <v>8.4</v>
      </c>
      <c r="N145">
        <v>0</v>
      </c>
      <c r="O145">
        <v>7.9</v>
      </c>
      <c r="P145">
        <v>17.2</v>
      </c>
      <c r="Q145">
        <v>11.9</v>
      </c>
      <c r="R145">
        <v>7.7</v>
      </c>
      <c r="S145">
        <v>2.4</v>
      </c>
      <c r="T145">
        <v>10.7</v>
      </c>
      <c r="U145">
        <v>2.4</v>
      </c>
      <c r="V145">
        <v>4.8</v>
      </c>
      <c r="W145">
        <v>5.0999999999999996</v>
      </c>
      <c r="X145">
        <v>8.8000000000000007</v>
      </c>
      <c r="Y145">
        <v>139.80000000000004</v>
      </c>
      <c r="Z145">
        <v>7.7</v>
      </c>
      <c r="AA145">
        <v>9</v>
      </c>
      <c r="AB145">
        <v>1</v>
      </c>
      <c r="AC145">
        <v>4</v>
      </c>
      <c r="AD145">
        <v>3</v>
      </c>
      <c r="AE145">
        <v>1</v>
      </c>
      <c r="AF145">
        <v>1</v>
      </c>
      <c r="AG145">
        <v>0</v>
      </c>
      <c r="AH145">
        <v>0.23529411764705882</v>
      </c>
      <c r="AI145">
        <v>0.17647058823529413</v>
      </c>
      <c r="AJ145">
        <v>5.8823529411764705E-2</v>
      </c>
      <c r="AK145">
        <v>5.8823529411764705E-2</v>
      </c>
      <c r="AL145">
        <v>0</v>
      </c>
    </row>
    <row r="146" spans="1:38" x14ac:dyDescent="0.25">
      <c r="A146">
        <v>2025</v>
      </c>
      <c r="B146" t="s">
        <v>134</v>
      </c>
      <c r="C146" t="s">
        <v>132</v>
      </c>
      <c r="D146" t="str" cm="1">
        <f t="array" ref="D146">_xlfn.XLOOKUP(1,('26 WR'!A:A=E146)*('26 WR'!B:B=F146),'26 WR'!C:C)</f>
        <v>Jake Ferguson</v>
      </c>
      <c r="E146" t="s">
        <v>28</v>
      </c>
      <c r="F146">
        <v>10</v>
      </c>
      <c r="G146">
        <v>80</v>
      </c>
      <c r="H146">
        <v>8.1999999999999993</v>
      </c>
      <c r="I146">
        <v>10</v>
      </c>
      <c r="J146">
        <v>11.5</v>
      </c>
      <c r="K146">
        <v>4.0999999999999996</v>
      </c>
      <c r="L146">
        <v>21.7</v>
      </c>
      <c r="M146">
        <v>7.3000000000000007</v>
      </c>
      <c r="N146">
        <v>0</v>
      </c>
      <c r="O146">
        <v>15.7</v>
      </c>
      <c r="P146">
        <v>0</v>
      </c>
      <c r="Q146">
        <v>11.1</v>
      </c>
      <c r="R146">
        <v>2.2000000000000002</v>
      </c>
      <c r="S146">
        <v>0</v>
      </c>
      <c r="T146">
        <v>3.4</v>
      </c>
      <c r="U146">
        <v>7.6</v>
      </c>
      <c r="V146">
        <v>0</v>
      </c>
      <c r="W146">
        <v>0</v>
      </c>
      <c r="X146">
        <v>0</v>
      </c>
      <c r="Y146">
        <v>102.8</v>
      </c>
      <c r="Z146">
        <v>7.2</v>
      </c>
      <c r="AA146">
        <v>9</v>
      </c>
      <c r="AB146">
        <v>1</v>
      </c>
      <c r="AC146">
        <v>3</v>
      </c>
      <c r="AD146">
        <v>1</v>
      </c>
      <c r="AE146">
        <v>0</v>
      </c>
      <c r="AF146">
        <v>0</v>
      </c>
      <c r="AG146">
        <v>0</v>
      </c>
      <c r="AH146">
        <v>0.17647058823529413</v>
      </c>
      <c r="AI146">
        <v>8.3333333333333329E-2</v>
      </c>
      <c r="AJ146">
        <v>0</v>
      </c>
      <c r="AK146">
        <v>0</v>
      </c>
      <c r="AL146">
        <v>0</v>
      </c>
    </row>
    <row r="147" spans="1:38" x14ac:dyDescent="0.25">
      <c r="A147">
        <v>2025</v>
      </c>
      <c r="B147" t="s">
        <v>137</v>
      </c>
      <c r="C147" t="s">
        <v>110</v>
      </c>
      <c r="D147" t="str" cm="1">
        <f t="array" ref="D147">_xlfn.XLOOKUP(1,('26 WR'!A:A=E147)*('26 WR'!B:B=F147),'26 WR'!C:C)</f>
        <v>Dalton Kincaid</v>
      </c>
      <c r="E147" t="s">
        <v>28</v>
      </c>
      <c r="F147">
        <v>11</v>
      </c>
      <c r="G147">
        <v>83</v>
      </c>
      <c r="H147">
        <v>4.2</v>
      </c>
      <c r="I147">
        <v>0</v>
      </c>
      <c r="J147">
        <v>4.5999999999999996</v>
      </c>
      <c r="K147">
        <v>0</v>
      </c>
      <c r="L147">
        <v>0</v>
      </c>
      <c r="M147">
        <v>4.0999999999999996</v>
      </c>
      <c r="N147">
        <v>6.9</v>
      </c>
      <c r="O147">
        <v>8.3000000000000007</v>
      </c>
      <c r="P147">
        <v>32.799999999999997</v>
      </c>
      <c r="Q147">
        <v>11.5</v>
      </c>
      <c r="R147">
        <v>8.5</v>
      </c>
      <c r="S147">
        <v>16.899999999999999</v>
      </c>
      <c r="T147">
        <v>7.3000000000000007</v>
      </c>
      <c r="U147">
        <v>14.9</v>
      </c>
      <c r="V147">
        <v>12.3</v>
      </c>
      <c r="W147">
        <v>7.5</v>
      </c>
      <c r="X147">
        <v>24.4</v>
      </c>
      <c r="Y147">
        <v>164.20000000000002</v>
      </c>
      <c r="Z147">
        <v>10.3</v>
      </c>
      <c r="AA147">
        <v>9</v>
      </c>
      <c r="AB147">
        <v>1</v>
      </c>
      <c r="AC147">
        <v>6</v>
      </c>
      <c r="AD147">
        <v>3</v>
      </c>
      <c r="AE147">
        <v>3</v>
      </c>
      <c r="AF147">
        <v>2</v>
      </c>
      <c r="AG147">
        <v>0</v>
      </c>
      <c r="AH147">
        <v>0.35294117647058826</v>
      </c>
      <c r="AI147">
        <v>0.1875</v>
      </c>
      <c r="AJ147">
        <v>0.1875</v>
      </c>
      <c r="AK147">
        <v>0.125</v>
      </c>
      <c r="AL147">
        <v>0</v>
      </c>
    </row>
    <row r="148" spans="1:38" x14ac:dyDescent="0.25">
      <c r="A148">
        <v>2025</v>
      </c>
      <c r="B148" t="s">
        <v>140</v>
      </c>
      <c r="C148" t="s">
        <v>61</v>
      </c>
      <c r="D148" t="str" cm="1">
        <f t="array" ref="D148">_xlfn.XLOOKUP(1,('26 WR'!A:A=E148)*('26 WR'!B:B=F148),'26 WR'!C:C)</f>
        <v>George Kittle</v>
      </c>
      <c r="E148" t="s">
        <v>28</v>
      </c>
      <c r="F148">
        <v>12</v>
      </c>
      <c r="G148">
        <v>86</v>
      </c>
      <c r="H148">
        <v>10.6</v>
      </c>
      <c r="I148">
        <v>27.4</v>
      </c>
      <c r="J148">
        <v>7.4</v>
      </c>
      <c r="K148">
        <v>13.100000000000001</v>
      </c>
      <c r="L148">
        <v>0</v>
      </c>
      <c r="M148">
        <v>13.3</v>
      </c>
      <c r="N148">
        <v>19.3</v>
      </c>
      <c r="O148">
        <v>36.799999999999997</v>
      </c>
      <c r="P148">
        <v>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132.89999999999998</v>
      </c>
      <c r="Z148">
        <v>14.7</v>
      </c>
      <c r="AA148">
        <v>10</v>
      </c>
      <c r="AB148">
        <v>1</v>
      </c>
      <c r="AC148">
        <v>5</v>
      </c>
      <c r="AD148">
        <v>3</v>
      </c>
      <c r="AE148">
        <v>2</v>
      </c>
      <c r="AF148">
        <v>1</v>
      </c>
      <c r="AG148">
        <v>1</v>
      </c>
      <c r="AH148">
        <v>0.29411764705882354</v>
      </c>
      <c r="AI148">
        <v>0.375</v>
      </c>
      <c r="AJ148">
        <v>0.25</v>
      </c>
      <c r="AK148">
        <v>0.125</v>
      </c>
      <c r="AL148">
        <v>0.125</v>
      </c>
    </row>
    <row r="149" spans="1:38" x14ac:dyDescent="0.25">
      <c r="A149">
        <v>2025</v>
      </c>
      <c r="B149" t="s">
        <v>151</v>
      </c>
      <c r="C149" t="s">
        <v>24</v>
      </c>
      <c r="D149" t="str" cm="1">
        <f t="array" ref="D149">_xlfn.XLOOKUP(1,('26 WR'!A:A=E149)*('26 WR'!B:B=F149),'26 WR'!C:C)</f>
        <v>Isaiah Likely</v>
      </c>
      <c r="E149" t="s">
        <v>28</v>
      </c>
      <c r="F149">
        <v>13</v>
      </c>
      <c r="G149">
        <v>97</v>
      </c>
      <c r="H149">
        <v>16.399999999999999</v>
      </c>
      <c r="I149">
        <v>9.6999999999999993</v>
      </c>
      <c r="J149">
        <v>9.9</v>
      </c>
      <c r="K149">
        <v>20.5</v>
      </c>
      <c r="L149">
        <v>0</v>
      </c>
      <c r="M149">
        <v>6.3</v>
      </c>
      <c r="N149">
        <v>16.7</v>
      </c>
      <c r="O149">
        <v>19.399999999999999</v>
      </c>
      <c r="P149">
        <v>9.8000000000000007</v>
      </c>
      <c r="Q149">
        <v>6.8000000000000007</v>
      </c>
      <c r="R149">
        <v>4.4000000000000004</v>
      </c>
      <c r="S149">
        <v>5.5</v>
      </c>
      <c r="T149">
        <v>18.700000000000003</v>
      </c>
      <c r="U149">
        <v>18</v>
      </c>
      <c r="V149">
        <v>51.1</v>
      </c>
      <c r="W149">
        <v>22.2</v>
      </c>
      <c r="X149">
        <v>4.5999999999999996</v>
      </c>
      <c r="Y149">
        <v>240</v>
      </c>
      <c r="Z149">
        <v>12.4</v>
      </c>
      <c r="AA149">
        <v>11</v>
      </c>
      <c r="AB149">
        <v>1</v>
      </c>
      <c r="AC149">
        <v>9</v>
      </c>
      <c r="AD149">
        <v>4</v>
      </c>
      <c r="AE149">
        <v>1</v>
      </c>
      <c r="AF149">
        <v>1</v>
      </c>
      <c r="AG149">
        <v>1</v>
      </c>
      <c r="AH149">
        <v>0.52941176470588236</v>
      </c>
      <c r="AI149">
        <v>0.23529411764705882</v>
      </c>
      <c r="AJ149">
        <v>5.8823529411764705E-2</v>
      </c>
      <c r="AK149">
        <v>5.8823529411764705E-2</v>
      </c>
      <c r="AL149">
        <v>5.8823529411764705E-2</v>
      </c>
    </row>
    <row r="150" spans="1:38" x14ac:dyDescent="0.25">
      <c r="A150">
        <v>2025</v>
      </c>
      <c r="B150" t="s">
        <v>157</v>
      </c>
      <c r="C150" t="s">
        <v>68</v>
      </c>
      <c r="D150" t="str" cm="1">
        <f t="array" ref="D150">_xlfn.XLOOKUP(1,('26 WR'!A:A=E150)*('26 WR'!B:B=F150),'26 WR'!C:C)</f>
        <v>Dallas Goedert</v>
      </c>
      <c r="E150" t="s">
        <v>28</v>
      </c>
      <c r="F150">
        <v>14</v>
      </c>
      <c r="G150">
        <v>103</v>
      </c>
      <c r="H150">
        <v>16.8</v>
      </c>
      <c r="I150">
        <v>9.6999999999999993</v>
      </c>
      <c r="J150">
        <v>20.100000000000001</v>
      </c>
      <c r="K150">
        <v>10.3</v>
      </c>
      <c r="L150">
        <v>19.8</v>
      </c>
      <c r="M150">
        <v>0</v>
      </c>
      <c r="N150">
        <v>0</v>
      </c>
      <c r="O150">
        <v>3.8000000000000003</v>
      </c>
      <c r="P150">
        <v>25.1</v>
      </c>
      <c r="Q150">
        <v>6.7</v>
      </c>
      <c r="R150">
        <v>0</v>
      </c>
      <c r="S150">
        <v>0</v>
      </c>
      <c r="T150">
        <v>0</v>
      </c>
      <c r="U150">
        <v>16.100000000000001</v>
      </c>
      <c r="V150">
        <v>7.9</v>
      </c>
      <c r="W150">
        <v>0</v>
      </c>
      <c r="X150">
        <v>0</v>
      </c>
      <c r="Y150">
        <v>136.30000000000001</v>
      </c>
      <c r="Z150">
        <v>10.5</v>
      </c>
      <c r="AA150">
        <v>11</v>
      </c>
      <c r="AB150">
        <v>1</v>
      </c>
      <c r="AC150">
        <v>5</v>
      </c>
      <c r="AD150">
        <v>3</v>
      </c>
      <c r="AE150">
        <v>1</v>
      </c>
      <c r="AF150">
        <v>0</v>
      </c>
      <c r="AG150">
        <v>0</v>
      </c>
      <c r="AH150">
        <v>0.29411764705882354</v>
      </c>
      <c r="AI150">
        <v>0.25</v>
      </c>
      <c r="AJ150">
        <v>8.3333333333333329E-2</v>
      </c>
      <c r="AK150">
        <v>0</v>
      </c>
      <c r="AL150">
        <v>0</v>
      </c>
    </row>
    <row r="151" spans="1:38" x14ac:dyDescent="0.25">
      <c r="A151">
        <v>2025</v>
      </c>
      <c r="B151" t="s">
        <v>162</v>
      </c>
      <c r="C151" t="s">
        <v>35</v>
      </c>
      <c r="D151" t="str" cm="1">
        <f t="array" ref="D151">_xlfn.XLOOKUP(1,('26 WR'!A:A=E151)*('26 WR'!B:B=F151),'26 WR'!C:C)</f>
        <v>Mark Andrews</v>
      </c>
      <c r="E151" t="s">
        <v>28</v>
      </c>
      <c r="F151">
        <v>15</v>
      </c>
      <c r="G151">
        <v>108</v>
      </c>
      <c r="H151">
        <v>9.8000000000000007</v>
      </c>
      <c r="I151">
        <v>21.3</v>
      </c>
      <c r="J151">
        <v>27.700000000000003</v>
      </c>
      <c r="K151">
        <v>20.5</v>
      </c>
      <c r="L151">
        <v>27.4</v>
      </c>
      <c r="M151">
        <v>13.8</v>
      </c>
      <c r="N151">
        <v>25.4</v>
      </c>
      <c r="O151">
        <v>0</v>
      </c>
      <c r="P151">
        <v>12.5</v>
      </c>
      <c r="Q151">
        <v>0</v>
      </c>
      <c r="R151">
        <v>13.6</v>
      </c>
      <c r="S151">
        <v>13.5</v>
      </c>
      <c r="T151">
        <v>11.1</v>
      </c>
      <c r="U151">
        <v>13.3</v>
      </c>
      <c r="V151">
        <v>4.5999999999999996</v>
      </c>
      <c r="W151">
        <v>6.4</v>
      </c>
      <c r="X151">
        <v>8.1</v>
      </c>
      <c r="Y151">
        <v>229</v>
      </c>
      <c r="Z151">
        <v>11.1</v>
      </c>
      <c r="AA151">
        <v>12</v>
      </c>
      <c r="AB151">
        <v>1</v>
      </c>
      <c r="AC151">
        <v>9</v>
      </c>
      <c r="AD151">
        <v>5</v>
      </c>
      <c r="AE151">
        <v>3</v>
      </c>
      <c r="AF151">
        <v>0</v>
      </c>
      <c r="AG151">
        <v>0</v>
      </c>
      <c r="AH151">
        <v>0.52941176470588236</v>
      </c>
      <c r="AI151">
        <v>0.29411764705882354</v>
      </c>
      <c r="AJ151">
        <v>0.17647058823529413</v>
      </c>
      <c r="AK151">
        <v>0</v>
      </c>
      <c r="AL151">
        <v>0</v>
      </c>
    </row>
    <row r="152" spans="1:38" x14ac:dyDescent="0.25">
      <c r="A152">
        <v>2025</v>
      </c>
      <c r="B152" t="s">
        <v>166</v>
      </c>
      <c r="C152" t="s">
        <v>33</v>
      </c>
      <c r="D152" t="str" cm="1">
        <f t="array" ref="D152">_xlfn.XLOOKUP(1,('26 WR'!A:A=E152)*('26 WR'!B:B=F152),'26 WR'!C:C)</f>
        <v>Juwan Johnson</v>
      </c>
      <c r="E152" t="s">
        <v>28</v>
      </c>
      <c r="F152">
        <v>16</v>
      </c>
      <c r="G152">
        <v>112</v>
      </c>
      <c r="H152">
        <v>14.9</v>
      </c>
      <c r="I152">
        <v>0</v>
      </c>
      <c r="J152">
        <v>10.8</v>
      </c>
      <c r="K152">
        <v>21.7</v>
      </c>
      <c r="L152">
        <v>12.4</v>
      </c>
      <c r="M152">
        <v>30.5</v>
      </c>
      <c r="N152">
        <v>6.3</v>
      </c>
      <c r="O152">
        <v>19.3</v>
      </c>
      <c r="P152">
        <v>0</v>
      </c>
      <c r="Q152">
        <v>10.3</v>
      </c>
      <c r="R152">
        <v>5.4</v>
      </c>
      <c r="S152">
        <v>5</v>
      </c>
      <c r="T152">
        <v>5.7</v>
      </c>
      <c r="U152">
        <v>19.8</v>
      </c>
      <c r="V152">
        <v>28</v>
      </c>
      <c r="W152">
        <v>13.7</v>
      </c>
      <c r="X152">
        <v>11.3</v>
      </c>
      <c r="Y152">
        <v>215.1</v>
      </c>
      <c r="Z152">
        <v>12.3</v>
      </c>
      <c r="AA152">
        <v>12</v>
      </c>
      <c r="AB152">
        <v>1</v>
      </c>
      <c r="AC152">
        <v>9</v>
      </c>
      <c r="AD152">
        <v>5</v>
      </c>
      <c r="AE152">
        <v>2</v>
      </c>
      <c r="AF152">
        <v>1</v>
      </c>
      <c r="AG152">
        <v>0</v>
      </c>
      <c r="AH152">
        <v>0.52941176470588236</v>
      </c>
      <c r="AI152">
        <v>0.33333333333333331</v>
      </c>
      <c r="AJ152">
        <v>0.13333333333333333</v>
      </c>
      <c r="AK152">
        <v>6.6666666666666666E-2</v>
      </c>
      <c r="AL152">
        <v>0</v>
      </c>
    </row>
    <row r="153" spans="1:38" x14ac:dyDescent="0.25">
      <c r="A153">
        <v>2025</v>
      </c>
      <c r="B153" t="s">
        <v>171</v>
      </c>
      <c r="C153" t="s">
        <v>80</v>
      </c>
      <c r="D153" t="str" cm="1">
        <f t="array" ref="D153">_xlfn.XLOOKUP(1,('26 WR'!A:A=E153)*('26 WR'!B:B=F153),'26 WR'!C:C)</f>
        <v>Oronde Gadsden II</v>
      </c>
      <c r="E153" t="s">
        <v>28</v>
      </c>
      <c r="F153">
        <v>17</v>
      </c>
      <c r="G153">
        <v>117</v>
      </c>
      <c r="H153">
        <v>13.1</v>
      </c>
      <c r="I153">
        <v>21.4</v>
      </c>
      <c r="J153">
        <v>8.3000000000000007</v>
      </c>
      <c r="K153">
        <v>5.0999999999999996</v>
      </c>
      <c r="L153">
        <v>0</v>
      </c>
      <c r="M153">
        <v>19.3</v>
      </c>
      <c r="N153">
        <v>14.2</v>
      </c>
      <c r="O153">
        <v>7.6</v>
      </c>
      <c r="P153">
        <v>10.600000000000001</v>
      </c>
      <c r="Q153">
        <v>11.4</v>
      </c>
      <c r="R153">
        <v>10.199999999999999</v>
      </c>
      <c r="S153">
        <v>0</v>
      </c>
      <c r="T153">
        <v>25.6</v>
      </c>
      <c r="U153">
        <v>2.6</v>
      </c>
      <c r="V153">
        <v>0</v>
      </c>
      <c r="W153">
        <v>0</v>
      </c>
      <c r="X153">
        <v>0</v>
      </c>
      <c r="Y153">
        <v>149.4</v>
      </c>
      <c r="Z153">
        <v>9.6999999999999993</v>
      </c>
      <c r="AA153">
        <v>13</v>
      </c>
      <c r="AB153">
        <v>1</v>
      </c>
      <c r="AC153">
        <v>5</v>
      </c>
      <c r="AD153">
        <v>3</v>
      </c>
      <c r="AE153">
        <v>1</v>
      </c>
      <c r="AF153">
        <v>0</v>
      </c>
      <c r="AG153">
        <v>0</v>
      </c>
      <c r="AH153">
        <v>0.29411764705882354</v>
      </c>
      <c r="AI153">
        <v>0.23076923076923078</v>
      </c>
      <c r="AJ153">
        <v>7.6923076923076927E-2</v>
      </c>
      <c r="AK153">
        <v>0</v>
      </c>
      <c r="AL153">
        <v>0</v>
      </c>
    </row>
    <row r="154" spans="1:38" x14ac:dyDescent="0.25">
      <c r="A154">
        <v>2025</v>
      </c>
      <c r="B154" t="s">
        <v>173</v>
      </c>
      <c r="C154" t="s">
        <v>51</v>
      </c>
      <c r="D154" t="str" cm="1">
        <f t="array" ref="D154">_xlfn.XLOOKUP(1,('26 WR'!A:A=E154)*('26 WR'!B:B=F154),'26 WR'!C:C)</f>
        <v>Brenton Strange</v>
      </c>
      <c r="E154" t="s">
        <v>28</v>
      </c>
      <c r="F154">
        <v>18</v>
      </c>
      <c r="G154">
        <v>119</v>
      </c>
      <c r="H154">
        <v>11.9</v>
      </c>
      <c r="I154">
        <v>6.2</v>
      </c>
      <c r="J154">
        <v>15.100000000000001</v>
      </c>
      <c r="K154">
        <v>13.5</v>
      </c>
      <c r="L154">
        <v>3.7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16.8</v>
      </c>
      <c r="T154">
        <v>15</v>
      </c>
      <c r="U154">
        <v>7.2</v>
      </c>
      <c r="V154">
        <v>4.0999999999999996</v>
      </c>
      <c r="W154">
        <v>17.399999999999999</v>
      </c>
      <c r="X154">
        <v>9.9</v>
      </c>
      <c r="Y154">
        <v>120.80000000000001</v>
      </c>
      <c r="Z154">
        <v>9.8000000000000007</v>
      </c>
      <c r="AA154">
        <v>13</v>
      </c>
      <c r="AB154">
        <v>1</v>
      </c>
      <c r="AC154">
        <v>6</v>
      </c>
      <c r="AD154">
        <v>1</v>
      </c>
      <c r="AE154">
        <v>0</v>
      </c>
      <c r="AF154">
        <v>0</v>
      </c>
      <c r="AG154">
        <v>0</v>
      </c>
      <c r="AH154">
        <v>0.35294117647058826</v>
      </c>
      <c r="AI154">
        <v>8.3333333333333329E-2</v>
      </c>
      <c r="AJ154">
        <v>0</v>
      </c>
      <c r="AK154">
        <v>0</v>
      </c>
      <c r="AL154">
        <v>0</v>
      </c>
    </row>
    <row r="155" spans="1:38" x14ac:dyDescent="0.25">
      <c r="A155">
        <v>2025</v>
      </c>
      <c r="B155" t="s">
        <v>174</v>
      </c>
      <c r="C155" t="s">
        <v>78</v>
      </c>
      <c r="D155" t="str" cm="1">
        <f t="array" ref="D155">_xlfn.XLOOKUP(1,('26 WR'!A:A=E155)*('26 WR'!B:B=F155),'26 WR'!C:C)</f>
        <v>Hunter Henry</v>
      </c>
      <c r="E155" t="s">
        <v>28</v>
      </c>
      <c r="F155">
        <v>19</v>
      </c>
      <c r="G155">
        <v>120</v>
      </c>
      <c r="H155">
        <v>12.600000000000001</v>
      </c>
      <c r="I155">
        <v>2.4</v>
      </c>
      <c r="J155">
        <v>33</v>
      </c>
      <c r="K155">
        <v>12.9</v>
      </c>
      <c r="L155">
        <v>7.6000000000000005</v>
      </c>
      <c r="M155">
        <v>7.2</v>
      </c>
      <c r="N155">
        <v>9.3000000000000007</v>
      </c>
      <c r="O155">
        <v>8.1999999999999993</v>
      </c>
      <c r="P155">
        <v>11.100000000000001</v>
      </c>
      <c r="Q155">
        <v>2.4</v>
      </c>
      <c r="R155">
        <v>10.5</v>
      </c>
      <c r="S155">
        <v>28</v>
      </c>
      <c r="T155">
        <v>13.3</v>
      </c>
      <c r="U155">
        <v>0</v>
      </c>
      <c r="V155">
        <v>3.3</v>
      </c>
      <c r="W155">
        <v>18.5</v>
      </c>
      <c r="X155">
        <v>15.4</v>
      </c>
      <c r="Y155">
        <v>195.70000000000005</v>
      </c>
      <c r="Z155">
        <v>10.5</v>
      </c>
      <c r="AA155">
        <v>14</v>
      </c>
      <c r="AB155">
        <v>1</v>
      </c>
      <c r="AC155">
        <v>8</v>
      </c>
      <c r="AD155">
        <v>3</v>
      </c>
      <c r="AE155">
        <v>2</v>
      </c>
      <c r="AF155">
        <v>1</v>
      </c>
      <c r="AG155">
        <v>0</v>
      </c>
      <c r="AH155">
        <v>0.47058823529411764</v>
      </c>
      <c r="AI155">
        <v>0.17647058823529413</v>
      </c>
      <c r="AJ155">
        <v>0.11764705882352941</v>
      </c>
      <c r="AK155">
        <v>5.8823529411764705E-2</v>
      </c>
      <c r="AL155">
        <v>0</v>
      </c>
    </row>
    <row r="156" spans="1:38" x14ac:dyDescent="0.25">
      <c r="A156">
        <v>2025</v>
      </c>
      <c r="B156" t="s">
        <v>176</v>
      </c>
      <c r="C156" t="s">
        <v>114</v>
      </c>
      <c r="D156" t="str" cm="1">
        <f t="array" ref="D156">_xlfn.XLOOKUP(1,('26 WR'!A:A=E156)*('26 WR'!B:B=F156),'26 WR'!C:C)</f>
        <v>Chig Okonkwo</v>
      </c>
      <c r="E156" t="s">
        <v>28</v>
      </c>
      <c r="F156">
        <v>20</v>
      </c>
      <c r="G156">
        <v>122</v>
      </c>
      <c r="H156">
        <v>6.4</v>
      </c>
      <c r="I156">
        <v>9.5</v>
      </c>
      <c r="J156">
        <v>14.100000000000001</v>
      </c>
      <c r="K156">
        <v>1.9</v>
      </c>
      <c r="L156">
        <v>10.8</v>
      </c>
      <c r="M156">
        <v>13.600000000000001</v>
      </c>
      <c r="N156">
        <v>0</v>
      </c>
      <c r="O156">
        <v>11.3</v>
      </c>
      <c r="P156">
        <v>4</v>
      </c>
      <c r="Q156">
        <v>0</v>
      </c>
      <c r="R156">
        <v>10.100000000000001</v>
      </c>
      <c r="S156">
        <v>8.5</v>
      </c>
      <c r="T156">
        <v>8.9</v>
      </c>
      <c r="U156">
        <v>5</v>
      </c>
      <c r="V156">
        <v>9.3000000000000007</v>
      </c>
      <c r="W156">
        <v>19.399999999999999</v>
      </c>
      <c r="X156">
        <v>16</v>
      </c>
      <c r="Y156">
        <v>148.80000000000001</v>
      </c>
      <c r="Z156">
        <v>7.3</v>
      </c>
      <c r="AA156">
        <v>15</v>
      </c>
      <c r="AB156">
        <v>1</v>
      </c>
      <c r="AC156">
        <v>4</v>
      </c>
      <c r="AD156">
        <v>1</v>
      </c>
      <c r="AE156">
        <v>0</v>
      </c>
      <c r="AF156">
        <v>0</v>
      </c>
      <c r="AG156">
        <v>0</v>
      </c>
      <c r="AH156">
        <v>0.23529411764705882</v>
      </c>
      <c r="AI156">
        <v>5.8823529411764705E-2</v>
      </c>
      <c r="AJ156">
        <v>0</v>
      </c>
      <c r="AK156">
        <v>0</v>
      </c>
      <c r="AL156">
        <v>0</v>
      </c>
    </row>
    <row r="157" spans="1:38" x14ac:dyDescent="0.25">
      <c r="A157">
        <v>2025</v>
      </c>
      <c r="B157" t="s">
        <v>179</v>
      </c>
      <c r="C157" t="s">
        <v>41</v>
      </c>
      <c r="D157" t="str" cm="1">
        <f t="array" ref="D157">_xlfn.XLOOKUP(1,('26 WR'!A:A=E157)*('26 WR'!B:B=F157),'26 WR'!C:C)</f>
        <v>Dalton Schultz</v>
      </c>
      <c r="E157" t="s">
        <v>28</v>
      </c>
      <c r="F157">
        <v>21</v>
      </c>
      <c r="G157">
        <v>125</v>
      </c>
      <c r="H157">
        <v>0</v>
      </c>
      <c r="I157">
        <v>0</v>
      </c>
      <c r="J157">
        <v>0</v>
      </c>
      <c r="K157">
        <v>0</v>
      </c>
      <c r="L157">
        <v>2.7</v>
      </c>
      <c r="M157">
        <v>3.6</v>
      </c>
      <c r="N157">
        <v>0</v>
      </c>
      <c r="O157">
        <v>3.8</v>
      </c>
      <c r="P157">
        <v>10.5</v>
      </c>
      <c r="Q157">
        <v>4.7</v>
      </c>
      <c r="R157">
        <v>4.5</v>
      </c>
      <c r="S157">
        <v>2.5</v>
      </c>
      <c r="T157">
        <v>17</v>
      </c>
      <c r="U157">
        <v>14.5</v>
      </c>
      <c r="V157">
        <v>0</v>
      </c>
      <c r="W157">
        <v>0</v>
      </c>
      <c r="X157">
        <v>7.2</v>
      </c>
      <c r="Y157">
        <v>71</v>
      </c>
      <c r="Z157">
        <v>4.4000000000000004</v>
      </c>
      <c r="AA157">
        <v>15</v>
      </c>
      <c r="AB157">
        <v>1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0.11764705882352941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2025</v>
      </c>
      <c r="B158" t="s">
        <v>181</v>
      </c>
      <c r="C158" t="s">
        <v>108</v>
      </c>
      <c r="D158" t="str" cm="1">
        <f t="array" ref="D158">_xlfn.XLOOKUP(1,('26 WR'!A:A=E158)*('26 WR'!B:B=F158),'26 WR'!C:C)</f>
        <v>T.J. Hockenson</v>
      </c>
      <c r="E158" t="s">
        <v>28</v>
      </c>
      <c r="F158">
        <v>22</v>
      </c>
      <c r="G158">
        <v>127</v>
      </c>
      <c r="H158">
        <v>15</v>
      </c>
      <c r="I158">
        <v>8.6999999999999993</v>
      </c>
      <c r="J158">
        <v>6.8000000000000007</v>
      </c>
      <c r="K158">
        <v>3.6</v>
      </c>
      <c r="L158">
        <v>0</v>
      </c>
      <c r="M158">
        <v>6.3</v>
      </c>
      <c r="N158">
        <v>13.3</v>
      </c>
      <c r="O158">
        <v>4.7</v>
      </c>
      <c r="P158">
        <v>7</v>
      </c>
      <c r="Q158">
        <v>1.9</v>
      </c>
      <c r="R158">
        <v>0</v>
      </c>
      <c r="S158">
        <v>6.6</v>
      </c>
      <c r="T158">
        <v>2.1</v>
      </c>
      <c r="U158">
        <v>0</v>
      </c>
      <c r="V158">
        <v>4.2</v>
      </c>
      <c r="W158">
        <v>0</v>
      </c>
      <c r="X158">
        <v>9.3000000000000007</v>
      </c>
      <c r="Y158">
        <v>89.5</v>
      </c>
      <c r="Z158">
        <v>5</v>
      </c>
      <c r="AA158">
        <v>15</v>
      </c>
      <c r="AB158">
        <v>1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0.17647058823529413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2025</v>
      </c>
      <c r="B159" t="s">
        <v>182</v>
      </c>
      <c r="C159" t="s">
        <v>90</v>
      </c>
      <c r="D159" t="str" cm="1">
        <f t="array" ref="D159">_xlfn.XLOOKUP(1,('26 WR'!A:A=E159)*('26 WR'!B:B=F159),'26 WR'!C:C)</f>
        <v>Kenyon Sadiq</v>
      </c>
      <c r="E159" t="s">
        <v>28</v>
      </c>
      <c r="F159">
        <v>23</v>
      </c>
      <c r="G159">
        <v>128</v>
      </c>
      <c r="H159">
        <v>3.5</v>
      </c>
      <c r="I159">
        <v>2</v>
      </c>
      <c r="J159">
        <v>7.8</v>
      </c>
      <c r="K159">
        <v>14</v>
      </c>
      <c r="L159">
        <v>20.2</v>
      </c>
      <c r="M159">
        <v>1.7</v>
      </c>
      <c r="N159">
        <v>7.6</v>
      </c>
      <c r="O159">
        <v>16.899999999999999</v>
      </c>
      <c r="P159">
        <v>0</v>
      </c>
      <c r="Q159">
        <v>1.9</v>
      </c>
      <c r="R159">
        <v>9</v>
      </c>
      <c r="S159">
        <v>6.6</v>
      </c>
      <c r="T159">
        <v>5.0999999999999996</v>
      </c>
      <c r="U159">
        <v>12.600000000000001</v>
      </c>
      <c r="V159">
        <v>0</v>
      </c>
      <c r="W159">
        <v>0</v>
      </c>
      <c r="X159">
        <v>0</v>
      </c>
      <c r="Y159">
        <v>108.9</v>
      </c>
      <c r="Z159">
        <v>6.8</v>
      </c>
      <c r="AA159">
        <v>16</v>
      </c>
      <c r="AB159">
        <v>1</v>
      </c>
      <c r="AC159">
        <v>4</v>
      </c>
      <c r="AD159">
        <v>1</v>
      </c>
      <c r="AE159">
        <v>0</v>
      </c>
      <c r="AF159">
        <v>0</v>
      </c>
      <c r="AG159">
        <v>0</v>
      </c>
      <c r="AH159">
        <v>0.23529411764705882</v>
      </c>
      <c r="AI159">
        <v>7.6923076923076927E-2</v>
      </c>
      <c r="AJ159">
        <v>0</v>
      </c>
      <c r="AK159">
        <v>0</v>
      </c>
      <c r="AL159">
        <v>0</v>
      </c>
    </row>
    <row r="160" spans="1:38" x14ac:dyDescent="0.25">
      <c r="A160">
        <v>2025</v>
      </c>
      <c r="B160" t="s">
        <v>189</v>
      </c>
      <c r="C160" t="s">
        <v>57</v>
      </c>
      <c r="D160" t="str" cm="1">
        <f t="array" ref="D160">_xlfn.XLOOKUP(1,('26 WR'!A:A=E160)*('26 WR'!B:B=F160),'26 WR'!C:C)</f>
        <v>AJ Barner</v>
      </c>
      <c r="E160" t="s">
        <v>28</v>
      </c>
      <c r="F160">
        <v>24</v>
      </c>
      <c r="G160">
        <v>135</v>
      </c>
      <c r="H160">
        <v>0</v>
      </c>
      <c r="I160">
        <v>7</v>
      </c>
      <c r="J160">
        <v>0</v>
      </c>
      <c r="K160">
        <v>5.4</v>
      </c>
      <c r="L160">
        <v>14.1</v>
      </c>
      <c r="M160">
        <v>12.600000000000001</v>
      </c>
      <c r="N160">
        <v>17</v>
      </c>
      <c r="O160">
        <v>10</v>
      </c>
      <c r="P160">
        <v>0</v>
      </c>
      <c r="Q160">
        <v>21.700000000000003</v>
      </c>
      <c r="R160">
        <v>5.8000000000000007</v>
      </c>
      <c r="S160">
        <v>8.1</v>
      </c>
      <c r="T160">
        <v>3.9</v>
      </c>
      <c r="U160">
        <v>6.4</v>
      </c>
      <c r="V160">
        <v>0</v>
      </c>
      <c r="W160">
        <v>4.5</v>
      </c>
      <c r="X160">
        <v>9.3000000000000007</v>
      </c>
      <c r="Y160">
        <v>125.8</v>
      </c>
      <c r="Z160">
        <v>7.6</v>
      </c>
      <c r="AA160">
        <v>16</v>
      </c>
      <c r="AB160">
        <v>1</v>
      </c>
      <c r="AC160">
        <v>5</v>
      </c>
      <c r="AD160">
        <v>2</v>
      </c>
      <c r="AE160">
        <v>1</v>
      </c>
      <c r="AF160">
        <v>0</v>
      </c>
      <c r="AG160">
        <v>0</v>
      </c>
      <c r="AH160">
        <v>0.29411764705882354</v>
      </c>
      <c r="AI160">
        <v>0.125</v>
      </c>
      <c r="AJ160">
        <v>6.25E-2</v>
      </c>
      <c r="AK160">
        <v>0</v>
      </c>
      <c r="AL160">
        <v>0</v>
      </c>
    </row>
    <row r="161" spans="1:38" x14ac:dyDescent="0.25">
      <c r="A161">
        <v>2025</v>
      </c>
      <c r="B161" t="s">
        <v>200</v>
      </c>
      <c r="C161" t="s">
        <v>21</v>
      </c>
      <c r="D161" t="str" cm="1">
        <f t="array" ref="D161">_xlfn.XLOOKUP(1,('26 WR'!A:A=E161)*('26 WR'!B:B=F161),'26 WR'!C:C)</f>
        <v>Gunnar Helm</v>
      </c>
      <c r="E161" t="s">
        <v>28</v>
      </c>
      <c r="F161">
        <v>25</v>
      </c>
      <c r="G161">
        <v>146</v>
      </c>
      <c r="H161">
        <v>2.9000000000000004</v>
      </c>
      <c r="I161">
        <v>6.3</v>
      </c>
      <c r="J161">
        <v>2.1</v>
      </c>
      <c r="K161">
        <v>2.2999999999999998</v>
      </c>
      <c r="L161">
        <v>4.5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9.5</v>
      </c>
      <c r="T161">
        <v>4.9000000000000004</v>
      </c>
      <c r="U161">
        <v>23.6</v>
      </c>
      <c r="V161">
        <v>2.6</v>
      </c>
      <c r="W161">
        <v>14</v>
      </c>
      <c r="X161">
        <v>7.7</v>
      </c>
      <c r="Y161">
        <v>80.400000000000006</v>
      </c>
      <c r="Z161">
        <v>5.4</v>
      </c>
      <c r="AA161">
        <v>16</v>
      </c>
      <c r="AB161">
        <v>1</v>
      </c>
      <c r="AC161">
        <v>2</v>
      </c>
      <c r="AD161">
        <v>1</v>
      </c>
      <c r="AE161">
        <v>1</v>
      </c>
      <c r="AF161">
        <v>0</v>
      </c>
      <c r="AG161">
        <v>0</v>
      </c>
      <c r="AH161">
        <v>0.11764705882352941</v>
      </c>
      <c r="AI161">
        <v>7.6923076923076927E-2</v>
      </c>
      <c r="AJ161">
        <v>7.6923076923076927E-2</v>
      </c>
      <c r="AK161">
        <v>0</v>
      </c>
      <c r="AL161">
        <v>0</v>
      </c>
    </row>
    <row r="162" spans="1:38" x14ac:dyDescent="0.25">
      <c r="A162">
        <v>2025</v>
      </c>
      <c r="B162" t="s">
        <v>208</v>
      </c>
      <c r="C162" t="s">
        <v>59</v>
      </c>
      <c r="D162" t="str" cm="1">
        <f t="array" ref="D162">_xlfn.XLOOKUP(1,('26 WR'!A:A=E162)*('26 WR'!B:B=F162),'26 WR'!C:C)</f>
        <v>Cade Otton</v>
      </c>
      <c r="E162" t="s">
        <v>28</v>
      </c>
      <c r="F162">
        <v>26</v>
      </c>
      <c r="G162">
        <v>154</v>
      </c>
      <c r="H162">
        <v>0</v>
      </c>
      <c r="I162">
        <v>0</v>
      </c>
      <c r="J162">
        <v>0</v>
      </c>
      <c r="K162">
        <v>19.2</v>
      </c>
      <c r="L162">
        <v>21.3</v>
      </c>
      <c r="M162">
        <v>10.199999999999999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7.7</v>
      </c>
      <c r="U162">
        <v>2.8</v>
      </c>
      <c r="V162">
        <v>29.1</v>
      </c>
      <c r="W162">
        <v>8.5</v>
      </c>
      <c r="X162">
        <v>1.5</v>
      </c>
      <c r="Y162">
        <v>100.30000000000001</v>
      </c>
      <c r="Z162">
        <v>9.9</v>
      </c>
      <c r="AA162">
        <v>17</v>
      </c>
      <c r="AB162">
        <v>1</v>
      </c>
      <c r="AC162">
        <v>3</v>
      </c>
      <c r="AD162">
        <v>3</v>
      </c>
      <c r="AE162">
        <v>1</v>
      </c>
      <c r="AF162">
        <v>1</v>
      </c>
      <c r="AG162">
        <v>0</v>
      </c>
      <c r="AH162">
        <v>0.17647058823529413</v>
      </c>
      <c r="AI162">
        <v>0.33333333333333331</v>
      </c>
      <c r="AJ162">
        <v>0.1111111111111111</v>
      </c>
      <c r="AK162">
        <v>0.1111111111111111</v>
      </c>
      <c r="AL162">
        <v>0</v>
      </c>
    </row>
    <row r="163" spans="1:38" x14ac:dyDescent="0.25">
      <c r="A163">
        <v>2025</v>
      </c>
      <c r="B163" t="s">
        <v>214</v>
      </c>
      <c r="C163" t="s">
        <v>132</v>
      </c>
      <c r="D163" t="str" cm="1">
        <f t="array" ref="D163">_xlfn.XLOOKUP(1,('26 WR'!A:A=E163)*('26 WR'!B:B=F163),'26 WR'!C:C)</f>
        <v>David Njoku</v>
      </c>
      <c r="E163" t="s">
        <v>28</v>
      </c>
      <c r="F163">
        <v>27</v>
      </c>
      <c r="G163">
        <v>160</v>
      </c>
      <c r="H163">
        <v>16.8</v>
      </c>
      <c r="I163">
        <v>12.3</v>
      </c>
      <c r="J163">
        <v>7</v>
      </c>
      <c r="K163">
        <v>5.4</v>
      </c>
      <c r="L163">
        <v>13.3</v>
      </c>
      <c r="M163">
        <v>18.600000000000001</v>
      </c>
      <c r="N163">
        <v>9.6</v>
      </c>
      <c r="O163">
        <v>21.2</v>
      </c>
      <c r="P163">
        <v>0</v>
      </c>
      <c r="Q163">
        <v>10.4</v>
      </c>
      <c r="R163">
        <v>5.6</v>
      </c>
      <c r="S163">
        <v>10</v>
      </c>
      <c r="T163">
        <v>14.8</v>
      </c>
      <c r="U163">
        <v>29.4</v>
      </c>
      <c r="V163">
        <v>15.3</v>
      </c>
      <c r="W163">
        <v>15.4</v>
      </c>
      <c r="X163">
        <v>12</v>
      </c>
      <c r="Y163">
        <v>217.10000000000002</v>
      </c>
      <c r="Z163">
        <v>11.7</v>
      </c>
      <c r="AA163">
        <v>18</v>
      </c>
      <c r="AB163">
        <v>1</v>
      </c>
      <c r="AC163">
        <v>9</v>
      </c>
      <c r="AD163">
        <v>4</v>
      </c>
      <c r="AE163">
        <v>1</v>
      </c>
      <c r="AF163">
        <v>1</v>
      </c>
      <c r="AG163">
        <v>0</v>
      </c>
      <c r="AH163">
        <v>0.52941176470588236</v>
      </c>
      <c r="AI163">
        <v>0.25</v>
      </c>
      <c r="AJ163">
        <v>6.25E-2</v>
      </c>
      <c r="AK163">
        <v>6.25E-2</v>
      </c>
      <c r="AL163">
        <v>0</v>
      </c>
    </row>
    <row r="164" spans="1:38" x14ac:dyDescent="0.25">
      <c r="A164">
        <v>2025</v>
      </c>
      <c r="B164" t="s">
        <v>216</v>
      </c>
      <c r="C164" t="s">
        <v>108</v>
      </c>
      <c r="D164" t="str" cm="1">
        <f t="array" ref="D164">_xlfn.XLOOKUP(1,('26 WR'!A:A=E164)*('26 WR'!B:B=F164),'26 WR'!C:C)</f>
        <v>Pat Freiermuth</v>
      </c>
      <c r="E164" t="s">
        <v>28</v>
      </c>
      <c r="F164">
        <v>28</v>
      </c>
      <c r="G164">
        <v>162</v>
      </c>
      <c r="H164">
        <v>7.3000000000000007</v>
      </c>
      <c r="I164">
        <v>7.6</v>
      </c>
      <c r="J164">
        <v>2.1</v>
      </c>
      <c r="K164">
        <v>0</v>
      </c>
      <c r="L164">
        <v>0</v>
      </c>
      <c r="M164">
        <v>2.6</v>
      </c>
      <c r="N164">
        <v>30.6</v>
      </c>
      <c r="O164">
        <v>5.8</v>
      </c>
      <c r="P164">
        <v>13.2</v>
      </c>
      <c r="Q164">
        <v>7.8000000000000007</v>
      </c>
      <c r="R164">
        <v>3.4000000000000004</v>
      </c>
      <c r="S164">
        <v>12.4</v>
      </c>
      <c r="T164">
        <v>0</v>
      </c>
      <c r="U164">
        <v>3.9</v>
      </c>
      <c r="V164">
        <v>9</v>
      </c>
      <c r="W164">
        <v>8</v>
      </c>
      <c r="X164">
        <v>10.8</v>
      </c>
      <c r="Y164">
        <v>124.50000000000001</v>
      </c>
      <c r="Z164">
        <v>6.7</v>
      </c>
      <c r="AA164">
        <v>18</v>
      </c>
      <c r="AB164">
        <v>1</v>
      </c>
      <c r="AC164">
        <v>3</v>
      </c>
      <c r="AD164">
        <v>1</v>
      </c>
      <c r="AE164">
        <v>1</v>
      </c>
      <c r="AF164">
        <v>1</v>
      </c>
      <c r="AG164">
        <v>0</v>
      </c>
      <c r="AH164">
        <v>0.17647058823529413</v>
      </c>
      <c r="AI164">
        <v>5.8823529411764705E-2</v>
      </c>
      <c r="AJ164">
        <v>5.8823529411764705E-2</v>
      </c>
      <c r="AK164">
        <v>5.8823529411764705E-2</v>
      </c>
      <c r="AL164">
        <v>0</v>
      </c>
    </row>
    <row r="165" spans="1:38" x14ac:dyDescent="0.25">
      <c r="A165">
        <v>2025</v>
      </c>
      <c r="B165" t="s">
        <v>220</v>
      </c>
      <c r="C165" t="s">
        <v>43</v>
      </c>
      <c r="D165" t="str" cm="1">
        <f t="array" ref="D165">_xlfn.XLOOKUP(1,('26 WR'!A:A=E165)*('26 WR'!B:B=F165),'26 WR'!C:C)</f>
        <v>Terrance Ferguson</v>
      </c>
      <c r="E165" t="s">
        <v>28</v>
      </c>
      <c r="F165">
        <v>29</v>
      </c>
      <c r="G165">
        <v>166</v>
      </c>
      <c r="H165">
        <v>2</v>
      </c>
      <c r="I165">
        <v>9.4</v>
      </c>
      <c r="J165">
        <v>2.5</v>
      </c>
      <c r="K165">
        <v>12.2</v>
      </c>
      <c r="L165">
        <v>24.3</v>
      </c>
      <c r="M165">
        <v>5.7</v>
      </c>
      <c r="N165">
        <v>17.100000000000001</v>
      </c>
      <c r="O165">
        <v>6.5</v>
      </c>
      <c r="P165">
        <v>13.2</v>
      </c>
      <c r="Q165">
        <v>18</v>
      </c>
      <c r="R165">
        <v>8.1</v>
      </c>
      <c r="S165">
        <v>12.2</v>
      </c>
      <c r="T165">
        <v>7.4</v>
      </c>
      <c r="U165">
        <v>0</v>
      </c>
      <c r="V165">
        <v>11.7</v>
      </c>
      <c r="W165">
        <v>0</v>
      </c>
      <c r="X165">
        <v>0</v>
      </c>
      <c r="Y165">
        <v>150.30000000000001</v>
      </c>
      <c r="Z165">
        <v>8.5</v>
      </c>
      <c r="AA165">
        <v>18</v>
      </c>
      <c r="AB165">
        <v>1</v>
      </c>
      <c r="AC165">
        <v>7</v>
      </c>
      <c r="AD165">
        <v>2</v>
      </c>
      <c r="AE165">
        <v>1</v>
      </c>
      <c r="AF165">
        <v>0</v>
      </c>
      <c r="AG165">
        <v>0</v>
      </c>
      <c r="AH165">
        <v>0.41176470588235292</v>
      </c>
      <c r="AI165">
        <v>0.13333333333333333</v>
      </c>
      <c r="AJ165">
        <v>6.6666666666666666E-2</v>
      </c>
      <c r="AK165">
        <v>0</v>
      </c>
      <c r="AL165">
        <v>0</v>
      </c>
    </row>
    <row r="166" spans="1:38" x14ac:dyDescent="0.25">
      <c r="A166">
        <v>2025</v>
      </c>
      <c r="B166" t="s">
        <v>224</v>
      </c>
      <c r="C166" t="s">
        <v>39</v>
      </c>
      <c r="D166" t="str" cm="1">
        <f t="array" ref="D166">_xlfn.XLOOKUP(1,('26 WR'!A:A=E166)*('26 WR'!B:B=F166),'26 WR'!C:C)</f>
        <v>Colby Parkinson</v>
      </c>
      <c r="E166" t="s">
        <v>28</v>
      </c>
      <c r="F166">
        <v>30</v>
      </c>
      <c r="G166">
        <v>170</v>
      </c>
      <c r="H166">
        <v>7.3000000000000007</v>
      </c>
      <c r="I166">
        <v>7.4</v>
      </c>
      <c r="J166">
        <v>11.4</v>
      </c>
      <c r="K166">
        <v>10.5</v>
      </c>
      <c r="L166">
        <v>13.5</v>
      </c>
      <c r="M166">
        <v>0</v>
      </c>
      <c r="N166">
        <v>23.3</v>
      </c>
      <c r="O166">
        <v>5.4</v>
      </c>
      <c r="P166">
        <v>16.7</v>
      </c>
      <c r="Q166">
        <v>21.8</v>
      </c>
      <c r="R166">
        <v>14.100000000000001</v>
      </c>
      <c r="S166">
        <v>2.2999999999999998</v>
      </c>
      <c r="T166">
        <v>16</v>
      </c>
      <c r="U166">
        <v>6.7</v>
      </c>
      <c r="V166">
        <v>25.6</v>
      </c>
      <c r="W166">
        <v>17</v>
      </c>
      <c r="X166">
        <v>6.4</v>
      </c>
      <c r="Y166">
        <v>205.4</v>
      </c>
      <c r="Z166">
        <v>10.5</v>
      </c>
      <c r="AA166">
        <v>19</v>
      </c>
      <c r="AB166">
        <v>1</v>
      </c>
      <c r="AC166">
        <v>9</v>
      </c>
      <c r="AD166">
        <v>3</v>
      </c>
      <c r="AE166">
        <v>1</v>
      </c>
      <c r="AF166">
        <v>0</v>
      </c>
      <c r="AG166">
        <v>0</v>
      </c>
      <c r="AH166">
        <v>0.52941176470588236</v>
      </c>
      <c r="AI166">
        <v>0.17647058823529413</v>
      </c>
      <c r="AJ166">
        <v>5.8823529411764705E-2</v>
      </c>
      <c r="AK166">
        <v>0</v>
      </c>
      <c r="AL166">
        <v>0</v>
      </c>
    </row>
    <row r="167" spans="1:38" x14ac:dyDescent="0.25">
      <c r="A167">
        <v>2025</v>
      </c>
      <c r="B167" t="s">
        <v>230</v>
      </c>
      <c r="C167" t="s">
        <v>96</v>
      </c>
      <c r="D167" t="str" cm="1">
        <f t="array" ref="D167">_xlfn.XLOOKUP(1,('26 WR'!A:A=E167)*('26 WR'!B:B=F167),'26 WR'!C:C)</f>
        <v>Evan Engram</v>
      </c>
      <c r="E167" t="s">
        <v>28</v>
      </c>
      <c r="F167">
        <v>31</v>
      </c>
      <c r="G167">
        <v>176</v>
      </c>
      <c r="H167">
        <v>19.600000000000001</v>
      </c>
      <c r="I167">
        <v>18.399999999999999</v>
      </c>
      <c r="J167">
        <v>14.100000000000001</v>
      </c>
      <c r="K167">
        <v>7.3000000000000007</v>
      </c>
      <c r="L167">
        <v>4.7</v>
      </c>
      <c r="M167">
        <v>4.5</v>
      </c>
      <c r="N167">
        <v>15.4</v>
      </c>
      <c r="O167">
        <v>12.8</v>
      </c>
      <c r="P167">
        <v>13.6</v>
      </c>
      <c r="Q167">
        <v>21.200000000000003</v>
      </c>
      <c r="R167">
        <v>0</v>
      </c>
      <c r="S167">
        <v>13.600000000000001</v>
      </c>
      <c r="T167">
        <v>11.4</v>
      </c>
      <c r="U167">
        <v>9.8000000000000007</v>
      </c>
      <c r="V167">
        <v>9</v>
      </c>
      <c r="W167">
        <v>20.9</v>
      </c>
      <c r="X167">
        <v>15.5</v>
      </c>
      <c r="Y167">
        <v>211.80000000000004</v>
      </c>
      <c r="Z167">
        <v>10.6</v>
      </c>
      <c r="AA167">
        <v>19</v>
      </c>
      <c r="AB167">
        <v>1</v>
      </c>
      <c r="AC167">
        <v>10</v>
      </c>
      <c r="AD167">
        <v>4</v>
      </c>
      <c r="AE167">
        <v>0</v>
      </c>
      <c r="AF167">
        <v>0</v>
      </c>
      <c r="AG167">
        <v>0</v>
      </c>
      <c r="AH167">
        <v>0.58823529411764708</v>
      </c>
      <c r="AI167">
        <v>0.23529411764705882</v>
      </c>
      <c r="AJ167">
        <v>0</v>
      </c>
      <c r="AK167">
        <v>0</v>
      </c>
      <c r="AL167">
        <v>0</v>
      </c>
    </row>
    <row r="168" spans="1:38" x14ac:dyDescent="0.25">
      <c r="A168">
        <v>2025</v>
      </c>
      <c r="B168" t="s">
        <v>236</v>
      </c>
      <c r="C168" t="s">
        <v>49</v>
      </c>
      <c r="D168" t="str" cm="1">
        <f t="array" ref="D168">_xlfn.XLOOKUP(1,('26 WR'!A:A=E168)*('26 WR'!B:B=F168),'26 WR'!C:C)</f>
        <v>Eli Stowers</v>
      </c>
      <c r="E168" t="s">
        <v>28</v>
      </c>
      <c r="F168">
        <v>32</v>
      </c>
      <c r="G168">
        <v>182</v>
      </c>
      <c r="H168">
        <v>0</v>
      </c>
      <c r="I168">
        <v>9.6999999999999993</v>
      </c>
      <c r="J168">
        <v>0</v>
      </c>
      <c r="K168">
        <v>5.5</v>
      </c>
      <c r="L168">
        <v>0</v>
      </c>
      <c r="M168">
        <v>16</v>
      </c>
      <c r="N168">
        <v>6.4</v>
      </c>
      <c r="O168">
        <v>0</v>
      </c>
      <c r="P168">
        <v>11.8</v>
      </c>
      <c r="Q168">
        <v>7.8000000000000007</v>
      </c>
      <c r="R168">
        <v>3.8000000000000003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61</v>
      </c>
      <c r="Z168">
        <v>7.1</v>
      </c>
      <c r="AA168">
        <v>20</v>
      </c>
      <c r="AB168">
        <v>1</v>
      </c>
      <c r="AC168">
        <v>3</v>
      </c>
      <c r="AD168">
        <v>1</v>
      </c>
      <c r="AE168">
        <v>1</v>
      </c>
      <c r="AF168">
        <v>0</v>
      </c>
      <c r="AG168">
        <v>0</v>
      </c>
      <c r="AH168">
        <v>0.17647058823529413</v>
      </c>
      <c r="AI168">
        <v>0.1</v>
      </c>
      <c r="AJ168">
        <v>0.1</v>
      </c>
      <c r="AK168">
        <v>0</v>
      </c>
      <c r="AL168">
        <v>0</v>
      </c>
    </row>
    <row r="169" spans="1:38" x14ac:dyDescent="0.25">
      <c r="A169">
        <v>2025</v>
      </c>
      <c r="B169" t="s">
        <v>242</v>
      </c>
      <c r="C169" t="s">
        <v>49</v>
      </c>
      <c r="D169" t="str" cm="1">
        <f t="array" ref="D169">_xlfn.XLOOKUP(1,('26 WR'!A:A=E169)*('26 WR'!B:B=F169),'26 WR'!C:C)</f>
        <v>Mason Taylor</v>
      </c>
      <c r="E169" t="s">
        <v>28</v>
      </c>
      <c r="F169">
        <v>33</v>
      </c>
      <c r="G169">
        <v>188</v>
      </c>
      <c r="H169">
        <v>2.4</v>
      </c>
      <c r="I169">
        <v>0</v>
      </c>
      <c r="J169">
        <v>0</v>
      </c>
      <c r="K169">
        <v>4.7</v>
      </c>
      <c r="L169">
        <v>0</v>
      </c>
      <c r="M169">
        <v>0</v>
      </c>
      <c r="N169">
        <v>9.1999999999999993</v>
      </c>
      <c r="O169">
        <v>0</v>
      </c>
      <c r="P169">
        <v>4</v>
      </c>
      <c r="Q169">
        <v>16.100000000000001</v>
      </c>
      <c r="R169">
        <v>10.4</v>
      </c>
      <c r="S169">
        <v>16.100000000000001</v>
      </c>
      <c r="T169">
        <v>8.6999999999999993</v>
      </c>
      <c r="U169">
        <v>13.7</v>
      </c>
      <c r="V169">
        <v>27</v>
      </c>
      <c r="W169">
        <v>5.0999999999999996</v>
      </c>
      <c r="X169">
        <v>14.3</v>
      </c>
      <c r="Y169">
        <v>131.69999999999999</v>
      </c>
      <c r="Z169">
        <v>8.6999999999999993</v>
      </c>
      <c r="AA169">
        <v>20</v>
      </c>
      <c r="AB169">
        <v>1</v>
      </c>
      <c r="AC169">
        <v>6</v>
      </c>
      <c r="AD169">
        <v>2</v>
      </c>
      <c r="AE169">
        <v>1</v>
      </c>
      <c r="AF169">
        <v>0</v>
      </c>
      <c r="AG169">
        <v>0</v>
      </c>
      <c r="AH169">
        <v>0.35294117647058826</v>
      </c>
      <c r="AI169">
        <v>0.13333333333333333</v>
      </c>
      <c r="AJ169">
        <v>6.6666666666666666E-2</v>
      </c>
      <c r="AK169">
        <v>0</v>
      </c>
      <c r="AL169">
        <v>0</v>
      </c>
    </row>
    <row r="170" spans="1:38" x14ac:dyDescent="0.25">
      <c r="A170">
        <v>2025</v>
      </c>
      <c r="B170" t="s">
        <v>250</v>
      </c>
      <c r="C170" t="s">
        <v>68</v>
      </c>
      <c r="D170" t="str" cm="1">
        <f t="array" ref="D170">_xlfn.XLOOKUP(1,('26 WR'!A:A=E170)*('26 WR'!B:B=F170),'26 WR'!C:C)</f>
        <v>Theo Johnson</v>
      </c>
      <c r="E170" t="s">
        <v>28</v>
      </c>
      <c r="F170">
        <v>34</v>
      </c>
      <c r="G170">
        <v>196</v>
      </c>
      <c r="H170">
        <v>5</v>
      </c>
      <c r="I170">
        <v>4.9000000000000004</v>
      </c>
      <c r="J170">
        <v>0</v>
      </c>
      <c r="K170">
        <v>0</v>
      </c>
      <c r="L170">
        <v>4.5</v>
      </c>
      <c r="M170">
        <v>9.4</v>
      </c>
      <c r="N170">
        <v>0</v>
      </c>
      <c r="O170">
        <v>3</v>
      </c>
      <c r="P170">
        <v>4.5</v>
      </c>
      <c r="Q170">
        <v>8.1999999999999993</v>
      </c>
      <c r="R170">
        <v>3.8000000000000003</v>
      </c>
      <c r="S170">
        <v>6.2</v>
      </c>
      <c r="T170">
        <v>7.3000000000000007</v>
      </c>
      <c r="U170">
        <v>18.3</v>
      </c>
      <c r="V170">
        <v>20.2</v>
      </c>
      <c r="W170">
        <v>2.5</v>
      </c>
      <c r="X170">
        <v>10.5</v>
      </c>
      <c r="Y170">
        <v>108.3</v>
      </c>
      <c r="Z170">
        <v>6.1</v>
      </c>
      <c r="AA170">
        <v>20</v>
      </c>
      <c r="AB170">
        <v>1</v>
      </c>
      <c r="AC170">
        <v>3</v>
      </c>
      <c r="AD170">
        <v>2</v>
      </c>
      <c r="AE170">
        <v>0</v>
      </c>
      <c r="AF170">
        <v>0</v>
      </c>
      <c r="AG170">
        <v>0</v>
      </c>
      <c r="AH170">
        <v>0.17647058823529413</v>
      </c>
      <c r="AI170">
        <v>0.11764705882352941</v>
      </c>
      <c r="AJ170">
        <v>0</v>
      </c>
      <c r="AK170">
        <v>0</v>
      </c>
      <c r="AL170">
        <v>0</v>
      </c>
    </row>
    <row r="171" spans="1:38" x14ac:dyDescent="0.25">
      <c r="A171">
        <v>2025</v>
      </c>
      <c r="B171" t="s">
        <v>252</v>
      </c>
      <c r="C171" t="s">
        <v>26</v>
      </c>
      <c r="D171" t="str" cm="1">
        <f t="array" ref="D171">_xlfn.XLOOKUP(1,('26 WR'!A:A=E171)*('26 WR'!B:B=F171),'26 WR'!C:C)</f>
        <v>Oscar Delp</v>
      </c>
      <c r="E171" t="s">
        <v>28</v>
      </c>
      <c r="F171">
        <v>35</v>
      </c>
      <c r="G171">
        <v>198</v>
      </c>
      <c r="H171">
        <v>12</v>
      </c>
      <c r="I171">
        <v>9.1</v>
      </c>
      <c r="J171">
        <v>5.0999999999999996</v>
      </c>
      <c r="K171">
        <v>16.3</v>
      </c>
      <c r="L171">
        <v>20.6</v>
      </c>
      <c r="M171">
        <v>14.8</v>
      </c>
      <c r="N171">
        <v>0</v>
      </c>
      <c r="O171">
        <v>7.7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2.2000000000000002</v>
      </c>
      <c r="X171">
        <v>22.5</v>
      </c>
      <c r="Y171">
        <v>110.30000000000001</v>
      </c>
      <c r="Z171">
        <v>5.8</v>
      </c>
      <c r="AA171">
        <v>20</v>
      </c>
      <c r="AB171">
        <v>1</v>
      </c>
      <c r="AC171">
        <v>5</v>
      </c>
      <c r="AD171">
        <v>2</v>
      </c>
      <c r="AE171">
        <v>0</v>
      </c>
      <c r="AF171">
        <v>0</v>
      </c>
      <c r="AG171">
        <v>0</v>
      </c>
      <c r="AH171">
        <v>0.29411764705882354</v>
      </c>
      <c r="AI171">
        <v>0.125</v>
      </c>
      <c r="AJ171">
        <v>0</v>
      </c>
      <c r="AK171">
        <v>0</v>
      </c>
      <c r="AL171">
        <v>0</v>
      </c>
    </row>
    <row r="172" spans="1:38" x14ac:dyDescent="0.25">
      <c r="A172">
        <v>2025</v>
      </c>
      <c r="B172" t="s">
        <v>324</v>
      </c>
      <c r="C172" t="s">
        <v>92</v>
      </c>
      <c r="D172" t="str" cm="1">
        <f t="array" ref="D172">_xlfn.XLOOKUP(1,('26 WR'!A:A=E172)*('26 WR'!B:B=F172),'26 WR'!C:C)</f>
        <v>Mike Gesicki</v>
      </c>
      <c r="E172" t="s">
        <v>28</v>
      </c>
      <c r="F172">
        <v>36</v>
      </c>
      <c r="G172">
        <v>205</v>
      </c>
      <c r="H172">
        <v>1.7</v>
      </c>
      <c r="I172">
        <v>6.5</v>
      </c>
      <c r="J172">
        <v>4.5999999999999996</v>
      </c>
      <c r="K172">
        <v>17.7</v>
      </c>
      <c r="L172">
        <v>2.2000000000000002</v>
      </c>
      <c r="M172">
        <v>9.9</v>
      </c>
      <c r="N172">
        <v>1.5</v>
      </c>
      <c r="O172">
        <v>1.9</v>
      </c>
      <c r="P172">
        <v>0</v>
      </c>
      <c r="Q172">
        <v>0</v>
      </c>
      <c r="R172">
        <v>6.9</v>
      </c>
      <c r="S172">
        <v>0</v>
      </c>
      <c r="T172">
        <v>1.7</v>
      </c>
      <c r="U172">
        <v>0</v>
      </c>
      <c r="V172">
        <v>4.3</v>
      </c>
      <c r="W172">
        <v>2.1</v>
      </c>
      <c r="X172">
        <v>2.1</v>
      </c>
      <c r="Y172">
        <v>63.1</v>
      </c>
      <c r="Z172">
        <v>3.8</v>
      </c>
      <c r="AA172">
        <v>20</v>
      </c>
      <c r="AB172">
        <v>1</v>
      </c>
      <c r="AC172">
        <v>2</v>
      </c>
      <c r="AD172">
        <v>1</v>
      </c>
      <c r="AE172">
        <v>0</v>
      </c>
      <c r="AF172">
        <v>0</v>
      </c>
      <c r="AG172">
        <v>0</v>
      </c>
      <c r="AH172">
        <v>0.11764705882352941</v>
      </c>
      <c r="AI172">
        <v>5.8823529411764705E-2</v>
      </c>
      <c r="AJ172">
        <v>0</v>
      </c>
      <c r="AK172">
        <v>0</v>
      </c>
      <c r="AL172">
        <v>0</v>
      </c>
    </row>
    <row r="173" spans="1:38" x14ac:dyDescent="0.25">
      <c r="A173">
        <v>2025</v>
      </c>
      <c r="B173" t="s">
        <v>326</v>
      </c>
      <c r="C173" t="s">
        <v>49</v>
      </c>
      <c r="D173" t="str" cm="1">
        <f t="array" ref="D173">_xlfn.XLOOKUP(1,('26 WR'!A:A=E173)*('26 WR'!B:B=F173),'26 WR'!C:C)</f>
        <v>Greg Dulcich</v>
      </c>
      <c r="E173" t="s">
        <v>28</v>
      </c>
      <c r="F173">
        <v>37</v>
      </c>
      <c r="G173">
        <v>215</v>
      </c>
      <c r="H173">
        <v>8.8000000000000007</v>
      </c>
      <c r="I173">
        <v>8.3000000000000007</v>
      </c>
      <c r="J173">
        <v>1.8</v>
      </c>
      <c r="K173">
        <v>1.5</v>
      </c>
      <c r="L173">
        <v>5.4</v>
      </c>
      <c r="M173">
        <v>2.2000000000000002</v>
      </c>
      <c r="N173">
        <v>1.9</v>
      </c>
      <c r="O173">
        <v>0</v>
      </c>
      <c r="P173">
        <v>8.1999999999999993</v>
      </c>
      <c r="Q173">
        <v>9.8000000000000007</v>
      </c>
      <c r="R173">
        <v>0</v>
      </c>
      <c r="S173">
        <v>7.4</v>
      </c>
      <c r="T173">
        <v>1.9</v>
      </c>
      <c r="U173">
        <v>5.0999999999999996</v>
      </c>
      <c r="V173">
        <v>6.1</v>
      </c>
      <c r="W173">
        <v>6.4</v>
      </c>
      <c r="X173">
        <v>0</v>
      </c>
      <c r="Y173">
        <v>74.800000000000011</v>
      </c>
      <c r="Z173">
        <v>3.7</v>
      </c>
      <c r="AA173">
        <v>20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2025</v>
      </c>
      <c r="B174" t="s">
        <v>328</v>
      </c>
      <c r="C174" t="s">
        <v>110</v>
      </c>
      <c r="D174" t="str" cm="1">
        <f t="array" ref="D174">_xlfn.XLOOKUP(1,('26 WR'!A:A=E174)*('26 WR'!B:B=F174),'26 WR'!C:C)</f>
        <v>Jake Tonges</v>
      </c>
      <c r="E174" t="s">
        <v>28</v>
      </c>
      <c r="F174">
        <v>38</v>
      </c>
      <c r="G174">
        <v>225</v>
      </c>
      <c r="H174">
        <v>4.5999999999999996</v>
      </c>
      <c r="I174">
        <v>5.9</v>
      </c>
      <c r="J174">
        <v>8.5</v>
      </c>
      <c r="K174">
        <v>9.1000000000000014</v>
      </c>
      <c r="L174">
        <v>0</v>
      </c>
      <c r="M174">
        <v>1.5</v>
      </c>
      <c r="N174">
        <v>3.1</v>
      </c>
      <c r="O174">
        <v>0</v>
      </c>
      <c r="P174">
        <v>2.5</v>
      </c>
      <c r="Q174">
        <v>2</v>
      </c>
      <c r="R174">
        <v>12</v>
      </c>
      <c r="S174">
        <v>1.8</v>
      </c>
      <c r="T174">
        <v>14.1</v>
      </c>
      <c r="U174">
        <v>7.2</v>
      </c>
      <c r="V174">
        <v>5.8000000000000007</v>
      </c>
      <c r="W174">
        <v>4.4000000000000004</v>
      </c>
      <c r="X174">
        <v>4.5999999999999996</v>
      </c>
      <c r="Y174">
        <v>87.1</v>
      </c>
      <c r="Z174">
        <v>4.9000000000000004</v>
      </c>
      <c r="AA174">
        <v>20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5.8823529411764705E-2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2025</v>
      </c>
      <c r="B175" t="s">
        <v>331</v>
      </c>
      <c r="C175" t="s">
        <v>108</v>
      </c>
      <c r="D175" t="str" cm="1">
        <f t="array" ref="D175">_xlfn.XLOOKUP(1,('26 WR'!A:A=E175)*('26 WR'!B:B=F175),'26 WR'!C:C)</f>
        <v>Darnell Washington</v>
      </c>
      <c r="E175" t="s">
        <v>28</v>
      </c>
      <c r="F175">
        <v>39</v>
      </c>
      <c r="G175">
        <v>235</v>
      </c>
      <c r="H175">
        <v>0</v>
      </c>
      <c r="I175">
        <v>0</v>
      </c>
      <c r="J175">
        <v>0</v>
      </c>
      <c r="K175">
        <v>6.5</v>
      </c>
      <c r="L175">
        <v>0</v>
      </c>
      <c r="M175">
        <v>10.7</v>
      </c>
      <c r="N175">
        <v>10.7</v>
      </c>
      <c r="O175">
        <v>0</v>
      </c>
      <c r="P175">
        <v>10.3</v>
      </c>
      <c r="Q175">
        <v>3</v>
      </c>
      <c r="R175">
        <v>12.7</v>
      </c>
      <c r="S175">
        <v>5.2</v>
      </c>
      <c r="T175">
        <v>7.5</v>
      </c>
      <c r="U175">
        <v>2.7</v>
      </c>
      <c r="V175">
        <v>7</v>
      </c>
      <c r="W175">
        <v>8.1</v>
      </c>
      <c r="X175">
        <v>4.5</v>
      </c>
      <c r="Y175">
        <v>88.9</v>
      </c>
      <c r="Z175">
        <v>4.5999999999999996</v>
      </c>
      <c r="AA175">
        <v>20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5.8823529411764705E-2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2025</v>
      </c>
      <c r="B176" t="s">
        <v>336</v>
      </c>
      <c r="C176" t="s">
        <v>21</v>
      </c>
      <c r="D176" t="str" cm="1">
        <f t="array" ref="D176">_xlfn.XLOOKUP(1,('26 WR'!A:A=E176)*('26 WR'!B:B=F176),'26 WR'!C:C)</f>
        <v>Max Klare</v>
      </c>
      <c r="E176" t="s">
        <v>28</v>
      </c>
      <c r="F176">
        <v>40</v>
      </c>
      <c r="G176">
        <v>245</v>
      </c>
      <c r="H176">
        <v>14.6</v>
      </c>
      <c r="I176">
        <v>7.3000000000000007</v>
      </c>
      <c r="J176">
        <v>10.1</v>
      </c>
      <c r="K176">
        <v>0</v>
      </c>
      <c r="L176">
        <v>0</v>
      </c>
      <c r="M176">
        <v>8.6999999999999993</v>
      </c>
      <c r="N176">
        <v>16.399999999999999</v>
      </c>
      <c r="O176">
        <v>8.6000000000000014</v>
      </c>
      <c r="P176">
        <v>11.8</v>
      </c>
      <c r="Q176">
        <v>0</v>
      </c>
      <c r="R176">
        <v>11.1</v>
      </c>
      <c r="S176">
        <v>2.4</v>
      </c>
      <c r="T176">
        <v>1.8</v>
      </c>
      <c r="U176">
        <v>3</v>
      </c>
      <c r="V176">
        <v>0</v>
      </c>
      <c r="W176">
        <v>0</v>
      </c>
      <c r="X176">
        <v>0</v>
      </c>
      <c r="Y176">
        <v>95.8</v>
      </c>
      <c r="Z176">
        <v>5</v>
      </c>
      <c r="AA176">
        <v>20</v>
      </c>
      <c r="AB176">
        <v>1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0.17647058823529413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2025</v>
      </c>
      <c r="B177" t="s">
        <v>337</v>
      </c>
      <c r="C177" t="s">
        <v>114</v>
      </c>
      <c r="D177" t="str" cm="1">
        <f t="array" ref="D177">_xlfn.XLOOKUP(1,('26 WR'!A:A=E177)*('26 WR'!B:B=F177),'26 WR'!C:C)</f>
        <v>Tyler Higbee</v>
      </c>
      <c r="E177" t="s">
        <v>28</v>
      </c>
      <c r="F177">
        <v>41</v>
      </c>
      <c r="G177">
        <v>255</v>
      </c>
      <c r="H177">
        <v>3.1</v>
      </c>
      <c r="I177">
        <v>3.9</v>
      </c>
      <c r="J177">
        <v>7.2</v>
      </c>
      <c r="K177">
        <v>2.7</v>
      </c>
      <c r="L177">
        <v>9.4</v>
      </c>
      <c r="M177">
        <v>4.5</v>
      </c>
      <c r="N177">
        <v>9.6</v>
      </c>
      <c r="O177">
        <v>11.3</v>
      </c>
      <c r="P177">
        <v>3</v>
      </c>
      <c r="Q177">
        <v>0</v>
      </c>
      <c r="R177">
        <v>8.9</v>
      </c>
      <c r="S177">
        <v>14.100000000000001</v>
      </c>
      <c r="T177">
        <v>11.3</v>
      </c>
      <c r="U177">
        <v>2.2999999999999998</v>
      </c>
      <c r="V177">
        <v>16.899999999999999</v>
      </c>
      <c r="W177">
        <v>3.9</v>
      </c>
      <c r="X177">
        <v>1.6</v>
      </c>
      <c r="Y177">
        <v>113.69999999999999</v>
      </c>
      <c r="Z177">
        <v>5.7</v>
      </c>
      <c r="AA177">
        <v>20</v>
      </c>
      <c r="AB177">
        <v>1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0.17647058823529413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2025</v>
      </c>
      <c r="B178" t="s">
        <v>343</v>
      </c>
      <c r="C178" t="s">
        <v>59</v>
      </c>
      <c r="D178" t="str" cm="1">
        <f t="array" ref="D178">_xlfn.XLOOKUP(1,('26 WR'!A:A=E178)*('26 WR'!B:B=F178),'26 WR'!C:C)</f>
        <v>Noah Gray</v>
      </c>
      <c r="E178" t="s">
        <v>28</v>
      </c>
      <c r="F178">
        <v>42</v>
      </c>
      <c r="G178">
        <v>265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12.4</v>
      </c>
      <c r="Q178">
        <v>3.7</v>
      </c>
      <c r="R178">
        <v>4.8</v>
      </c>
      <c r="S178">
        <v>0</v>
      </c>
      <c r="T178">
        <v>5.4</v>
      </c>
      <c r="U178">
        <v>8.6000000000000014</v>
      </c>
      <c r="V178">
        <v>7.6000000000000005</v>
      </c>
      <c r="W178">
        <v>9.1000000000000014</v>
      </c>
      <c r="X178">
        <v>19.3</v>
      </c>
      <c r="Y178">
        <v>70.900000000000006</v>
      </c>
      <c r="Z178">
        <v>6.3</v>
      </c>
      <c r="AA178">
        <v>20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5.8823529411764705E-2</v>
      </c>
      <c r="AI178">
        <v>0.1</v>
      </c>
      <c r="AJ178">
        <v>0</v>
      </c>
      <c r="AK178">
        <v>0</v>
      </c>
      <c r="AL178">
        <v>0</v>
      </c>
    </row>
    <row r="179" spans="1:38" x14ac:dyDescent="0.25">
      <c r="A179">
        <v>2025</v>
      </c>
      <c r="B179" t="s">
        <v>344</v>
      </c>
      <c r="C179" t="s">
        <v>65</v>
      </c>
      <c r="D179" t="str" cm="1">
        <f t="array" ref="D179">_xlfn.XLOOKUP(1,('26 WR'!A:A=E179)*('26 WR'!B:B=F179),'26 WR'!C:C)</f>
        <v>Elijah Arroyo</v>
      </c>
      <c r="E179" t="s">
        <v>28</v>
      </c>
      <c r="F179">
        <v>43</v>
      </c>
      <c r="G179">
        <v>275</v>
      </c>
      <c r="H179">
        <v>0</v>
      </c>
      <c r="I179">
        <v>0</v>
      </c>
      <c r="J179">
        <v>12.100000000000001</v>
      </c>
      <c r="K179">
        <v>4.5999999999999996</v>
      </c>
      <c r="L179">
        <v>2.9000000000000004</v>
      </c>
      <c r="M179">
        <v>17.3</v>
      </c>
      <c r="N179">
        <v>32.900000000000006</v>
      </c>
      <c r="O179">
        <v>21.2</v>
      </c>
      <c r="P179">
        <v>14.3</v>
      </c>
      <c r="Q179">
        <v>5.8</v>
      </c>
      <c r="R179">
        <v>7.1000000000000005</v>
      </c>
      <c r="S179">
        <v>0</v>
      </c>
      <c r="T179">
        <v>4.2</v>
      </c>
      <c r="U179">
        <v>2.2000000000000002</v>
      </c>
      <c r="V179">
        <v>12.100000000000001</v>
      </c>
      <c r="W179">
        <v>2.2000000000000002</v>
      </c>
      <c r="X179">
        <v>13.7</v>
      </c>
      <c r="Y179">
        <v>152.6</v>
      </c>
      <c r="Z179">
        <v>8.8000000000000007</v>
      </c>
      <c r="AA179">
        <v>20</v>
      </c>
      <c r="AB179">
        <v>1</v>
      </c>
      <c r="AC179">
        <v>6</v>
      </c>
      <c r="AD179">
        <v>2</v>
      </c>
      <c r="AE179">
        <v>1</v>
      </c>
      <c r="AF179">
        <v>1</v>
      </c>
      <c r="AG179">
        <v>0</v>
      </c>
      <c r="AH179">
        <v>0.35294117647058826</v>
      </c>
      <c r="AI179">
        <v>0.13333333333333333</v>
      </c>
      <c r="AJ179">
        <v>6.6666666666666666E-2</v>
      </c>
      <c r="AK179">
        <v>6.6666666666666666E-2</v>
      </c>
      <c r="AL179">
        <v>0</v>
      </c>
    </row>
    <row r="180" spans="1:38" x14ac:dyDescent="0.25">
      <c r="A180">
        <v>2025</v>
      </c>
      <c r="B180" t="s">
        <v>345</v>
      </c>
      <c r="C180" t="s">
        <v>29</v>
      </c>
      <c r="D180" t="str" cm="1">
        <f t="array" ref="D180">_xlfn.XLOOKUP(1,('26 WR'!A:A=E180)*('26 WR'!B:B=F180),'26 WR'!C:C)</f>
        <v>Michael Mayer</v>
      </c>
      <c r="E180" t="s">
        <v>28</v>
      </c>
      <c r="F180">
        <v>44</v>
      </c>
      <c r="G180">
        <v>285</v>
      </c>
      <c r="H180">
        <v>9.8000000000000007</v>
      </c>
      <c r="I180">
        <v>3.9</v>
      </c>
      <c r="J180">
        <v>0</v>
      </c>
      <c r="K180">
        <v>0</v>
      </c>
      <c r="L180">
        <v>0</v>
      </c>
      <c r="M180">
        <v>18.5</v>
      </c>
      <c r="N180">
        <v>2.5</v>
      </c>
      <c r="O180">
        <v>0</v>
      </c>
      <c r="P180">
        <v>7.1</v>
      </c>
      <c r="Q180">
        <v>6.7</v>
      </c>
      <c r="R180">
        <v>5.8</v>
      </c>
      <c r="S180">
        <v>2.9000000000000004</v>
      </c>
      <c r="T180">
        <v>0</v>
      </c>
      <c r="U180">
        <v>0</v>
      </c>
      <c r="V180">
        <v>0</v>
      </c>
      <c r="W180">
        <v>2.5</v>
      </c>
      <c r="X180">
        <v>22.4</v>
      </c>
      <c r="Y180">
        <v>82.1</v>
      </c>
      <c r="Z180">
        <v>5.7</v>
      </c>
      <c r="AA180">
        <v>20</v>
      </c>
      <c r="AB180">
        <v>1</v>
      </c>
      <c r="AC180">
        <v>2</v>
      </c>
      <c r="AD180">
        <v>2</v>
      </c>
      <c r="AE180">
        <v>0</v>
      </c>
      <c r="AF180">
        <v>0</v>
      </c>
      <c r="AG180">
        <v>0</v>
      </c>
      <c r="AH180">
        <v>0.11764705882352941</v>
      </c>
      <c r="AI180">
        <v>0.15384615384615385</v>
      </c>
      <c r="AJ180">
        <v>0</v>
      </c>
      <c r="AK180">
        <v>0</v>
      </c>
      <c r="AL180">
        <v>0</v>
      </c>
    </row>
    <row r="181" spans="1:38" x14ac:dyDescent="0.25">
      <c r="A181">
        <v>2025</v>
      </c>
      <c r="B181" t="s">
        <v>346</v>
      </c>
      <c r="C181" t="s">
        <v>74</v>
      </c>
      <c r="D181" t="str" cm="1">
        <f t="array" ref="D181">_xlfn.XLOOKUP(1,('26 WR'!A:A=E181)*('26 WR'!B:B=F181),'26 WR'!C:C)</f>
        <v>Ja'Tavion Sanders</v>
      </c>
      <c r="E181" t="s">
        <v>28</v>
      </c>
      <c r="F181">
        <v>45</v>
      </c>
      <c r="G181">
        <v>295</v>
      </c>
      <c r="H181">
        <v>1.5</v>
      </c>
      <c r="I181">
        <v>11.6</v>
      </c>
      <c r="J181">
        <v>3.8000000000000003</v>
      </c>
      <c r="K181">
        <v>13.7</v>
      </c>
      <c r="L181">
        <v>27.8</v>
      </c>
      <c r="M181">
        <v>11.600000000000001</v>
      </c>
      <c r="N181">
        <v>0</v>
      </c>
      <c r="O181">
        <v>0</v>
      </c>
      <c r="P181">
        <v>6.9</v>
      </c>
      <c r="Q181">
        <v>0</v>
      </c>
      <c r="R181">
        <v>22</v>
      </c>
      <c r="S181">
        <v>4.8</v>
      </c>
      <c r="T181">
        <v>9.5</v>
      </c>
      <c r="U181">
        <v>7.2</v>
      </c>
      <c r="V181">
        <v>7.2</v>
      </c>
      <c r="W181">
        <v>16.899999999999999</v>
      </c>
      <c r="X181">
        <v>14.8</v>
      </c>
      <c r="Y181">
        <v>159.30000000000001</v>
      </c>
      <c r="Z181">
        <v>8.6999999999999993</v>
      </c>
      <c r="AA181">
        <v>20</v>
      </c>
      <c r="AB181">
        <v>1</v>
      </c>
      <c r="AC181">
        <v>8</v>
      </c>
      <c r="AD181">
        <v>2</v>
      </c>
      <c r="AE181">
        <v>1</v>
      </c>
      <c r="AF181">
        <v>0</v>
      </c>
      <c r="AG181">
        <v>0</v>
      </c>
      <c r="AH181">
        <v>0.47058823529411764</v>
      </c>
      <c r="AI181">
        <v>0.11764705882352941</v>
      </c>
      <c r="AJ181">
        <v>5.8823529411764705E-2</v>
      </c>
      <c r="AK181">
        <v>0</v>
      </c>
      <c r="AL181">
        <v>0</v>
      </c>
    </row>
    <row r="182" spans="1:38" x14ac:dyDescent="0.25">
      <c r="A182">
        <v>2025</v>
      </c>
      <c r="B182" t="s">
        <v>19</v>
      </c>
      <c r="C182" t="s">
        <v>21</v>
      </c>
      <c r="D182" t="str" cm="1">
        <f t="array" ref="D182">_xlfn.XLOOKUP(1,('26 WR'!A:A=E182)*('26 WR'!B:B=F182),'26 WR'!C:C)</f>
        <v>Ja'Marr Chase</v>
      </c>
      <c r="E182" t="s">
        <v>20</v>
      </c>
      <c r="F182">
        <v>1</v>
      </c>
      <c r="G182">
        <v>1</v>
      </c>
      <c r="H182">
        <v>4.5999999999999996</v>
      </c>
      <c r="I182">
        <v>36.5</v>
      </c>
      <c r="J182">
        <v>8.9</v>
      </c>
      <c r="K182">
        <v>7.3</v>
      </c>
      <c r="L182">
        <v>29</v>
      </c>
      <c r="M182">
        <v>25.1</v>
      </c>
      <c r="N182">
        <v>38.1</v>
      </c>
      <c r="O182">
        <v>21.1</v>
      </c>
      <c r="P182">
        <v>17.100000000000001</v>
      </c>
      <c r="Q182">
        <v>0</v>
      </c>
      <c r="R182">
        <v>6</v>
      </c>
      <c r="S182">
        <v>0</v>
      </c>
      <c r="T182">
        <v>18</v>
      </c>
      <c r="U182">
        <v>10.199999999999999</v>
      </c>
      <c r="V182">
        <v>23.2</v>
      </c>
      <c r="W182">
        <v>19.899999999999999</v>
      </c>
      <c r="X182">
        <v>25</v>
      </c>
      <c r="Y182">
        <v>289.99999999999994</v>
      </c>
      <c r="Z182">
        <v>19.600000000000001</v>
      </c>
      <c r="AA182">
        <v>1</v>
      </c>
      <c r="AB182">
        <v>1</v>
      </c>
      <c r="AC182">
        <v>12</v>
      </c>
      <c r="AD182">
        <v>11</v>
      </c>
      <c r="AE182">
        <v>8</v>
      </c>
      <c r="AF182">
        <v>4</v>
      </c>
      <c r="AG182">
        <v>2</v>
      </c>
      <c r="AH182">
        <v>0.70588235294117652</v>
      </c>
      <c r="AI182">
        <v>0.6875</v>
      </c>
      <c r="AJ182">
        <v>0.5</v>
      </c>
      <c r="AK182">
        <v>0.25</v>
      </c>
      <c r="AL182">
        <v>0.125</v>
      </c>
    </row>
    <row r="183" spans="1:38" x14ac:dyDescent="0.25">
      <c r="A183">
        <v>2025</v>
      </c>
      <c r="B183" t="s">
        <v>30</v>
      </c>
      <c r="C183" t="s">
        <v>31</v>
      </c>
      <c r="D183" t="str" cm="1">
        <f t="array" ref="D183">_xlfn.XLOOKUP(1,('26 WR'!A:A=E183)*('26 WR'!B:B=F183),'26 WR'!C:C)</f>
        <v>Puka Nacua</v>
      </c>
      <c r="E183" t="s">
        <v>20</v>
      </c>
      <c r="F183">
        <v>2</v>
      </c>
      <c r="G183">
        <v>5</v>
      </c>
      <c r="H183">
        <v>14.8</v>
      </c>
      <c r="I183">
        <v>11.1</v>
      </c>
      <c r="J183">
        <v>12.5</v>
      </c>
      <c r="K183">
        <v>22.6</v>
      </c>
      <c r="L183">
        <v>19.3</v>
      </c>
      <c r="M183">
        <v>0</v>
      </c>
      <c r="N183">
        <v>12.9</v>
      </c>
      <c r="O183">
        <v>14.4</v>
      </c>
      <c r="P183">
        <v>16.7</v>
      </c>
      <c r="Q183">
        <v>7.7</v>
      </c>
      <c r="R183">
        <v>11.1</v>
      </c>
      <c r="S183">
        <v>8.8000000000000007</v>
      </c>
      <c r="T183">
        <v>2.4</v>
      </c>
      <c r="U183">
        <v>3.1</v>
      </c>
      <c r="V183">
        <v>4.2</v>
      </c>
      <c r="W183">
        <v>14.5</v>
      </c>
      <c r="X183">
        <v>7</v>
      </c>
      <c r="Y183">
        <v>183.1</v>
      </c>
      <c r="Z183">
        <v>11.9</v>
      </c>
      <c r="AA183">
        <v>1</v>
      </c>
      <c r="AB183">
        <v>1</v>
      </c>
      <c r="AC183">
        <v>11</v>
      </c>
      <c r="AD183">
        <v>4</v>
      </c>
      <c r="AE183">
        <v>1</v>
      </c>
      <c r="AF183">
        <v>0</v>
      </c>
      <c r="AG183">
        <v>0</v>
      </c>
      <c r="AH183">
        <v>0.6470588235294118</v>
      </c>
      <c r="AI183">
        <v>0.23529411764705882</v>
      </c>
      <c r="AJ183">
        <v>5.8823529411764705E-2</v>
      </c>
      <c r="AK183">
        <v>0</v>
      </c>
      <c r="AL183">
        <v>0</v>
      </c>
    </row>
    <row r="184" spans="1:38" x14ac:dyDescent="0.25">
      <c r="A184">
        <v>2025</v>
      </c>
      <c r="B184" t="s">
        <v>34</v>
      </c>
      <c r="C184" t="s">
        <v>35</v>
      </c>
      <c r="D184" t="str" cm="1">
        <f t="array" ref="D184">_xlfn.XLOOKUP(1,('26 WR'!A:A=E184)*('26 WR'!B:B=F184),'26 WR'!C:C)</f>
        <v>Jaxon Smith-Njigba</v>
      </c>
      <c r="E184" t="s">
        <v>20</v>
      </c>
      <c r="F184">
        <v>3</v>
      </c>
      <c r="G184">
        <v>7</v>
      </c>
      <c r="H184">
        <v>18</v>
      </c>
      <c r="I184">
        <v>20.2</v>
      </c>
      <c r="J184">
        <v>0</v>
      </c>
      <c r="K184">
        <v>0</v>
      </c>
      <c r="L184">
        <v>0</v>
      </c>
      <c r="M184">
        <v>0</v>
      </c>
      <c r="N184">
        <v>22</v>
      </c>
      <c r="O184">
        <v>14.6</v>
      </c>
      <c r="P184">
        <v>15.5</v>
      </c>
      <c r="Q184">
        <v>0</v>
      </c>
      <c r="R184">
        <v>17.600000000000001</v>
      </c>
      <c r="S184">
        <v>11.5</v>
      </c>
      <c r="T184">
        <v>24.2</v>
      </c>
      <c r="U184">
        <v>18.100000000000001</v>
      </c>
      <c r="V184">
        <v>17.100000000000001</v>
      </c>
      <c r="W184">
        <v>11.1</v>
      </c>
      <c r="X184">
        <v>9.6</v>
      </c>
      <c r="Y184">
        <v>199.49999999999997</v>
      </c>
      <c r="Z184">
        <v>14.4</v>
      </c>
      <c r="AA184">
        <v>1</v>
      </c>
      <c r="AB184">
        <v>1</v>
      </c>
      <c r="AC184">
        <v>11</v>
      </c>
      <c r="AD184">
        <v>8</v>
      </c>
      <c r="AE184">
        <v>3</v>
      </c>
      <c r="AF184">
        <v>0</v>
      </c>
      <c r="AG184">
        <v>0</v>
      </c>
      <c r="AH184">
        <v>0.6470588235294118</v>
      </c>
      <c r="AI184">
        <v>0.5714285714285714</v>
      </c>
      <c r="AJ184">
        <v>0.21428571428571427</v>
      </c>
      <c r="AK184">
        <v>0</v>
      </c>
      <c r="AL184">
        <v>0</v>
      </c>
    </row>
    <row r="185" spans="1:38" x14ac:dyDescent="0.25">
      <c r="A185">
        <v>2025</v>
      </c>
      <c r="B185" t="s">
        <v>38</v>
      </c>
      <c r="C185" t="s">
        <v>39</v>
      </c>
      <c r="D185" t="str" cm="1">
        <f t="array" ref="D185">_xlfn.XLOOKUP(1,('26 WR'!A:A=E185)*('26 WR'!B:B=F185),'26 WR'!C:C)</f>
        <v>Amon-Ra St. Brown</v>
      </c>
      <c r="E185" t="s">
        <v>20</v>
      </c>
      <c r="F185">
        <v>4</v>
      </c>
      <c r="G185">
        <v>9</v>
      </c>
      <c r="H185">
        <v>5.5</v>
      </c>
      <c r="I185">
        <v>14.2</v>
      </c>
      <c r="J185">
        <v>22.4</v>
      </c>
      <c r="K185">
        <v>11.9</v>
      </c>
      <c r="L185">
        <v>16</v>
      </c>
      <c r="M185">
        <v>0</v>
      </c>
      <c r="N185">
        <v>6.7</v>
      </c>
      <c r="O185">
        <v>0</v>
      </c>
      <c r="P185">
        <v>14.5</v>
      </c>
      <c r="Q185">
        <v>22.6</v>
      </c>
      <c r="R185">
        <v>24.2</v>
      </c>
      <c r="S185">
        <v>8.5</v>
      </c>
      <c r="T185">
        <v>21.5</v>
      </c>
      <c r="U185">
        <v>16.100000000000001</v>
      </c>
      <c r="V185">
        <v>23.5</v>
      </c>
      <c r="W185">
        <v>9.9</v>
      </c>
      <c r="X185">
        <v>8.6999999999999993</v>
      </c>
      <c r="Y185">
        <v>226.2</v>
      </c>
      <c r="Z185">
        <v>15.1</v>
      </c>
      <c r="AA185">
        <v>1</v>
      </c>
      <c r="AB185">
        <v>1</v>
      </c>
      <c r="AC185">
        <v>10</v>
      </c>
      <c r="AD185">
        <v>7</v>
      </c>
      <c r="AE185">
        <v>5</v>
      </c>
      <c r="AF185">
        <v>0</v>
      </c>
      <c r="AG185">
        <v>0</v>
      </c>
      <c r="AH185">
        <v>0.58823529411764708</v>
      </c>
      <c r="AI185">
        <v>0.46666666666666667</v>
      </c>
      <c r="AJ185">
        <v>0.33333333333333331</v>
      </c>
      <c r="AK185">
        <v>0</v>
      </c>
      <c r="AL185">
        <v>0</v>
      </c>
    </row>
    <row r="186" spans="1:38" x14ac:dyDescent="0.25">
      <c r="A186">
        <v>2025</v>
      </c>
      <c r="B186" t="s">
        <v>42</v>
      </c>
      <c r="C186" t="s">
        <v>43</v>
      </c>
      <c r="D186" t="str" cm="1">
        <f t="array" ref="D186">_xlfn.XLOOKUP(1,('26 WR'!A:A=E186)*('26 WR'!B:B=F186),'26 WR'!C:C)</f>
        <v>CeeDee Lamb</v>
      </c>
      <c r="E186" t="s">
        <v>20</v>
      </c>
      <c r="F186">
        <v>5</v>
      </c>
      <c r="G186">
        <v>11</v>
      </c>
      <c r="H186">
        <v>12.1</v>
      </c>
      <c r="I186">
        <v>37.700000000000003</v>
      </c>
      <c r="J186">
        <v>3.3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57.1</v>
      </c>
      <c r="Z186">
        <v>14.3</v>
      </c>
      <c r="AA186">
        <v>1</v>
      </c>
      <c r="AB186">
        <v>1</v>
      </c>
      <c r="AC186">
        <v>2</v>
      </c>
      <c r="AD186">
        <v>1</v>
      </c>
      <c r="AE186">
        <v>1</v>
      </c>
      <c r="AF186">
        <v>1</v>
      </c>
      <c r="AG186">
        <v>1</v>
      </c>
      <c r="AH186">
        <v>0.11764705882352941</v>
      </c>
      <c r="AI186">
        <v>0.25</v>
      </c>
      <c r="AJ186">
        <v>0.25</v>
      </c>
      <c r="AK186">
        <v>0.25</v>
      </c>
      <c r="AL186">
        <v>0.25</v>
      </c>
    </row>
    <row r="187" spans="1:38" x14ac:dyDescent="0.25">
      <c r="A187">
        <v>2025</v>
      </c>
      <c r="B187" t="s">
        <v>46</v>
      </c>
      <c r="C187" t="s">
        <v>37</v>
      </c>
      <c r="D187" t="str" cm="1">
        <f t="array" ref="D187">_xlfn.XLOOKUP(1,('26 WR'!A:A=E187)*('26 WR'!B:B=F187),'26 WR'!C:C)</f>
        <v>Justin Jefferson</v>
      </c>
      <c r="E187" t="s">
        <v>20</v>
      </c>
      <c r="F187">
        <v>6</v>
      </c>
      <c r="G187">
        <v>13</v>
      </c>
      <c r="H187">
        <v>8.5</v>
      </c>
      <c r="I187">
        <v>39.200000000000003</v>
      </c>
      <c r="J187">
        <v>20.7</v>
      </c>
      <c r="K187">
        <v>26</v>
      </c>
      <c r="L187">
        <v>18</v>
      </c>
      <c r="M187">
        <v>13.7</v>
      </c>
      <c r="N187">
        <v>20.6</v>
      </c>
      <c r="O187">
        <v>0</v>
      </c>
      <c r="P187">
        <v>18.7</v>
      </c>
      <c r="Q187">
        <v>16.8</v>
      </c>
      <c r="R187">
        <v>6.2</v>
      </c>
      <c r="S187">
        <v>29.9</v>
      </c>
      <c r="T187">
        <v>0</v>
      </c>
      <c r="U187">
        <v>15.2</v>
      </c>
      <c r="V187">
        <v>41.4</v>
      </c>
      <c r="W187">
        <v>9.4</v>
      </c>
      <c r="X187">
        <v>14.8</v>
      </c>
      <c r="Y187">
        <v>299.09999999999997</v>
      </c>
      <c r="Z187">
        <v>19.100000000000001</v>
      </c>
      <c r="AA187">
        <v>1</v>
      </c>
      <c r="AB187">
        <v>1</v>
      </c>
      <c r="AC187">
        <v>13</v>
      </c>
      <c r="AD187">
        <v>11</v>
      </c>
      <c r="AE187">
        <v>7</v>
      </c>
      <c r="AF187">
        <v>4</v>
      </c>
      <c r="AG187">
        <v>2</v>
      </c>
      <c r="AH187">
        <v>0.76470588235294112</v>
      </c>
      <c r="AI187">
        <v>0.6470588235294118</v>
      </c>
      <c r="AJ187">
        <v>0.41176470588235292</v>
      </c>
      <c r="AK187">
        <v>0.23529411764705882</v>
      </c>
      <c r="AL187">
        <v>0.11764705882352941</v>
      </c>
    </row>
    <row r="188" spans="1:38" x14ac:dyDescent="0.25">
      <c r="A188">
        <v>2025</v>
      </c>
      <c r="B188" t="s">
        <v>48</v>
      </c>
      <c r="C188" t="s">
        <v>49</v>
      </c>
      <c r="D188" t="str" cm="1">
        <f t="array" ref="D188">_xlfn.XLOOKUP(1,('26 WR'!A:A=E188)*('26 WR'!B:B=F188),'26 WR'!C:C)</f>
        <v>Drake London</v>
      </c>
      <c r="E188" t="s">
        <v>20</v>
      </c>
      <c r="F188">
        <v>7</v>
      </c>
      <c r="G188">
        <v>15</v>
      </c>
      <c r="H188">
        <v>23.1</v>
      </c>
      <c r="I188">
        <v>27.6</v>
      </c>
      <c r="J188">
        <v>22.8</v>
      </c>
      <c r="K188">
        <v>36</v>
      </c>
      <c r="L188">
        <v>24.5</v>
      </c>
      <c r="M188">
        <v>4.8</v>
      </c>
      <c r="N188">
        <v>0</v>
      </c>
      <c r="O188">
        <v>0</v>
      </c>
      <c r="P188">
        <v>22.8</v>
      </c>
      <c r="Q188">
        <v>17.399999999999999</v>
      </c>
      <c r="R188">
        <v>14.3</v>
      </c>
      <c r="S188">
        <v>16.7</v>
      </c>
      <c r="T188">
        <v>13.2</v>
      </c>
      <c r="U188">
        <v>35.700000000000003</v>
      </c>
      <c r="V188">
        <v>27.9</v>
      </c>
      <c r="W188">
        <v>46.5</v>
      </c>
      <c r="X188">
        <v>15.7</v>
      </c>
      <c r="Y188">
        <v>349</v>
      </c>
      <c r="Z188">
        <v>23.4</v>
      </c>
      <c r="AA188">
        <v>2</v>
      </c>
      <c r="AB188">
        <v>1</v>
      </c>
      <c r="AC188">
        <v>15</v>
      </c>
      <c r="AD188">
        <v>13</v>
      </c>
      <c r="AE188">
        <v>10</v>
      </c>
      <c r="AF188">
        <v>6</v>
      </c>
      <c r="AG188">
        <v>3</v>
      </c>
      <c r="AH188">
        <v>0.88235294117647056</v>
      </c>
      <c r="AI188">
        <v>0.8125</v>
      </c>
      <c r="AJ188">
        <v>0.625</v>
      </c>
      <c r="AK188">
        <v>0.375</v>
      </c>
      <c r="AL188">
        <v>0.1875</v>
      </c>
    </row>
    <row r="189" spans="1:38" x14ac:dyDescent="0.25">
      <c r="A189">
        <v>2025</v>
      </c>
      <c r="B189" t="s">
        <v>50</v>
      </c>
      <c r="C189" t="s">
        <v>51</v>
      </c>
      <c r="D189" t="str" cm="1">
        <f t="array" ref="D189">_xlfn.XLOOKUP(1,('26 WR'!A:A=E189)*('26 WR'!B:B=F189),'26 WR'!C:C)</f>
        <v>Nico Collins</v>
      </c>
      <c r="E189" t="s">
        <v>20</v>
      </c>
      <c r="F189">
        <v>8</v>
      </c>
      <c r="G189">
        <v>16</v>
      </c>
      <c r="H189">
        <v>9</v>
      </c>
      <c r="I189">
        <v>8.9</v>
      </c>
      <c r="J189">
        <v>7.5</v>
      </c>
      <c r="K189">
        <v>10.6</v>
      </c>
      <c r="L189">
        <v>12</v>
      </c>
      <c r="M189">
        <v>23</v>
      </c>
      <c r="N189">
        <v>6.1</v>
      </c>
      <c r="O189">
        <v>0</v>
      </c>
      <c r="P189">
        <v>8.5</v>
      </c>
      <c r="Q189">
        <v>0</v>
      </c>
      <c r="R189">
        <v>0</v>
      </c>
      <c r="S189">
        <v>0</v>
      </c>
      <c r="T189">
        <v>4.8</v>
      </c>
      <c r="U189">
        <v>11.7</v>
      </c>
      <c r="V189">
        <v>17.100000000000001</v>
      </c>
      <c r="W189">
        <v>3.8</v>
      </c>
      <c r="X189">
        <v>7.9</v>
      </c>
      <c r="Y189">
        <v>130.89999999999998</v>
      </c>
      <c r="Z189">
        <v>9.9</v>
      </c>
      <c r="AA189">
        <v>2</v>
      </c>
      <c r="AB189">
        <v>1</v>
      </c>
      <c r="AC189">
        <v>5</v>
      </c>
      <c r="AD189">
        <v>2</v>
      </c>
      <c r="AE189">
        <v>1</v>
      </c>
      <c r="AF189">
        <v>0</v>
      </c>
      <c r="AG189">
        <v>0</v>
      </c>
      <c r="AH189">
        <v>0.29411764705882354</v>
      </c>
      <c r="AI189">
        <v>0.14285714285714285</v>
      </c>
      <c r="AJ189">
        <v>7.1428571428571425E-2</v>
      </c>
      <c r="AK189">
        <v>0</v>
      </c>
      <c r="AL189">
        <v>0</v>
      </c>
    </row>
    <row r="190" spans="1:38" x14ac:dyDescent="0.25">
      <c r="A190">
        <v>2025</v>
      </c>
      <c r="B190" t="s">
        <v>53</v>
      </c>
      <c r="C190" t="s">
        <v>24</v>
      </c>
      <c r="D190" t="str" cm="1">
        <f t="array" ref="D190">_xlfn.XLOOKUP(1,('26 WR'!A:A=E190)*('26 WR'!B:B=F190),'26 WR'!C:C)</f>
        <v>A.J. Brown</v>
      </c>
      <c r="E190" t="s">
        <v>20</v>
      </c>
      <c r="F190">
        <v>9</v>
      </c>
      <c r="G190">
        <v>18</v>
      </c>
      <c r="H190">
        <v>13.5</v>
      </c>
      <c r="I190">
        <v>5.9</v>
      </c>
      <c r="J190">
        <v>10.5</v>
      </c>
      <c r="K190">
        <v>25</v>
      </c>
      <c r="L190">
        <v>0</v>
      </c>
      <c r="M190">
        <v>31.8</v>
      </c>
      <c r="N190">
        <v>8.1999999999999993</v>
      </c>
      <c r="O190">
        <v>0</v>
      </c>
      <c r="P190">
        <v>38.799999999999997</v>
      </c>
      <c r="Q190">
        <v>24.4</v>
      </c>
      <c r="R190">
        <v>18.899999999999999</v>
      </c>
      <c r="S190">
        <v>0</v>
      </c>
      <c r="T190">
        <v>0</v>
      </c>
      <c r="U190">
        <v>0</v>
      </c>
      <c r="V190">
        <v>0</v>
      </c>
      <c r="W190">
        <v>5.7</v>
      </c>
      <c r="X190">
        <v>1.4</v>
      </c>
      <c r="Y190">
        <v>184.1</v>
      </c>
      <c r="Z190">
        <v>16.8</v>
      </c>
      <c r="AA190">
        <v>2</v>
      </c>
      <c r="AB190">
        <v>1</v>
      </c>
      <c r="AC190">
        <v>8</v>
      </c>
      <c r="AD190">
        <v>6</v>
      </c>
      <c r="AE190">
        <v>4</v>
      </c>
      <c r="AF190">
        <v>2</v>
      </c>
      <c r="AG190">
        <v>2</v>
      </c>
      <c r="AH190">
        <v>0.47058823529411764</v>
      </c>
      <c r="AI190">
        <v>0.5</v>
      </c>
      <c r="AJ190">
        <v>0.33333333333333331</v>
      </c>
      <c r="AK190">
        <v>0.16666666666666666</v>
      </c>
      <c r="AL190">
        <v>0.16666666666666666</v>
      </c>
    </row>
    <row r="191" spans="1:38" x14ac:dyDescent="0.25">
      <c r="A191">
        <v>2025</v>
      </c>
      <c r="B191" t="s">
        <v>62</v>
      </c>
      <c r="C191" t="s">
        <v>33</v>
      </c>
      <c r="D191" t="str" cm="1">
        <f t="array" ref="D191">_xlfn.XLOOKUP(1,('26 WR'!A:A=E191)*('26 WR'!B:B=F191),'26 WR'!C:C)</f>
        <v>George Pickens</v>
      </c>
      <c r="E191" t="s">
        <v>20</v>
      </c>
      <c r="F191">
        <v>10</v>
      </c>
      <c r="G191">
        <v>23</v>
      </c>
      <c r="H191">
        <v>1.8</v>
      </c>
      <c r="I191">
        <v>7.7</v>
      </c>
      <c r="J191">
        <v>22.9</v>
      </c>
      <c r="K191">
        <v>2.7</v>
      </c>
      <c r="L191">
        <v>9.3000000000000007</v>
      </c>
      <c r="M191">
        <v>14</v>
      </c>
      <c r="N191">
        <v>28.1</v>
      </c>
      <c r="O191">
        <v>0</v>
      </c>
      <c r="P191">
        <v>0</v>
      </c>
      <c r="Q191">
        <v>3.3</v>
      </c>
      <c r="R191">
        <v>11.9</v>
      </c>
      <c r="S191">
        <v>25</v>
      </c>
      <c r="T191">
        <v>35.200000000000003</v>
      </c>
      <c r="U191">
        <v>16</v>
      </c>
      <c r="V191">
        <v>12.1</v>
      </c>
      <c r="W191">
        <v>18.5</v>
      </c>
      <c r="X191">
        <v>11.8</v>
      </c>
      <c r="Y191">
        <v>220.3</v>
      </c>
      <c r="Z191">
        <v>14.7</v>
      </c>
      <c r="AA191">
        <v>2</v>
      </c>
      <c r="AB191">
        <v>1</v>
      </c>
      <c r="AC191">
        <v>10</v>
      </c>
      <c r="AD191">
        <v>6</v>
      </c>
      <c r="AE191">
        <v>4</v>
      </c>
      <c r="AF191">
        <v>2</v>
      </c>
      <c r="AG191">
        <v>1</v>
      </c>
      <c r="AH191">
        <v>0.58823529411764708</v>
      </c>
      <c r="AI191">
        <v>0.4</v>
      </c>
      <c r="AJ191">
        <v>0.26666666666666666</v>
      </c>
      <c r="AK191">
        <v>0.13333333333333333</v>
      </c>
      <c r="AL191">
        <v>6.6666666666666666E-2</v>
      </c>
    </row>
    <row r="192" spans="1:38" x14ac:dyDescent="0.25">
      <c r="A192">
        <v>2025</v>
      </c>
      <c r="B192" t="s">
        <v>64</v>
      </c>
      <c r="C192" t="s">
        <v>65</v>
      </c>
      <c r="D192" t="str" cm="1">
        <f t="array" ref="D192">_xlfn.XLOOKUP(1,('26 WR'!A:A=E192)*('26 WR'!B:B=F192),'26 WR'!C:C)</f>
        <v>Chris Olave</v>
      </c>
      <c r="E192" t="s">
        <v>20</v>
      </c>
      <c r="F192">
        <v>11</v>
      </c>
      <c r="G192">
        <v>25</v>
      </c>
      <c r="H192">
        <v>13.4</v>
      </c>
      <c r="I192">
        <v>9.8000000000000007</v>
      </c>
      <c r="J192">
        <v>8.1</v>
      </c>
      <c r="K192">
        <v>2.1</v>
      </c>
      <c r="L192">
        <v>14.9</v>
      </c>
      <c r="M192">
        <v>23</v>
      </c>
      <c r="N192">
        <v>15.7</v>
      </c>
      <c r="O192">
        <v>20.8</v>
      </c>
      <c r="P192">
        <v>9.6</v>
      </c>
      <c r="Q192">
        <v>20.7</v>
      </c>
      <c r="R192">
        <v>4.3</v>
      </c>
      <c r="S192">
        <v>0</v>
      </c>
      <c r="T192">
        <v>13.9</v>
      </c>
      <c r="U192">
        <v>2.2000000000000002</v>
      </c>
      <c r="V192">
        <v>4</v>
      </c>
      <c r="W192">
        <v>14.3</v>
      </c>
      <c r="X192">
        <v>4.0999999999999996</v>
      </c>
      <c r="Y192">
        <v>180.9</v>
      </c>
      <c r="Z192">
        <v>11.3</v>
      </c>
      <c r="AA192">
        <v>2</v>
      </c>
      <c r="AB192">
        <v>1</v>
      </c>
      <c r="AC192">
        <v>8</v>
      </c>
      <c r="AD192">
        <v>4</v>
      </c>
      <c r="AE192">
        <v>3</v>
      </c>
      <c r="AF192">
        <v>0</v>
      </c>
      <c r="AG192">
        <v>0</v>
      </c>
      <c r="AH192">
        <v>0.47058823529411764</v>
      </c>
      <c r="AI192">
        <v>0.25</v>
      </c>
      <c r="AJ192">
        <v>0.1875</v>
      </c>
      <c r="AK192">
        <v>0</v>
      </c>
      <c r="AL192">
        <v>0</v>
      </c>
    </row>
    <row r="193" spans="1:38" x14ac:dyDescent="0.25">
      <c r="A193">
        <v>2025</v>
      </c>
      <c r="B193" t="s">
        <v>69</v>
      </c>
      <c r="C193" t="s">
        <v>21</v>
      </c>
      <c r="D193" t="str" cm="1">
        <f t="array" ref="D193">_xlfn.XLOOKUP(1,('26 WR'!A:A=E193)*('26 WR'!B:B=F193),'26 WR'!C:C)</f>
        <v>Rashee Rice</v>
      </c>
      <c r="E193" t="s">
        <v>20</v>
      </c>
      <c r="F193">
        <v>12</v>
      </c>
      <c r="G193">
        <v>27</v>
      </c>
      <c r="H193">
        <v>6.3</v>
      </c>
      <c r="I193">
        <v>14.6</v>
      </c>
      <c r="J193">
        <v>2.5</v>
      </c>
      <c r="K193">
        <v>6.2</v>
      </c>
      <c r="L193">
        <v>11.2</v>
      </c>
      <c r="M193">
        <v>11.2</v>
      </c>
      <c r="N193">
        <v>21.6</v>
      </c>
      <c r="O193">
        <v>11.4</v>
      </c>
      <c r="P193">
        <v>33.1</v>
      </c>
      <c r="Q193">
        <v>0</v>
      </c>
      <c r="R193">
        <v>15.3</v>
      </c>
      <c r="S193">
        <v>8.1</v>
      </c>
      <c r="T193">
        <v>0</v>
      </c>
      <c r="U193">
        <v>27.2</v>
      </c>
      <c r="V193">
        <v>0</v>
      </c>
      <c r="W193">
        <v>14.3</v>
      </c>
      <c r="X193">
        <v>9.9</v>
      </c>
      <c r="Y193">
        <v>192.9</v>
      </c>
      <c r="Z193">
        <v>14.1</v>
      </c>
      <c r="AA193">
        <v>3</v>
      </c>
      <c r="AB193">
        <v>1</v>
      </c>
      <c r="AC193">
        <v>10</v>
      </c>
      <c r="AD193">
        <v>5</v>
      </c>
      <c r="AE193">
        <v>3</v>
      </c>
      <c r="AF193">
        <v>2</v>
      </c>
      <c r="AG193">
        <v>1</v>
      </c>
      <c r="AH193">
        <v>0.58823529411764708</v>
      </c>
      <c r="AI193">
        <v>0.33333333333333331</v>
      </c>
      <c r="AJ193">
        <v>0.2</v>
      </c>
      <c r="AK193">
        <v>0.13333333333333333</v>
      </c>
      <c r="AL193">
        <v>6.6666666666666666E-2</v>
      </c>
    </row>
    <row r="194" spans="1:38" x14ac:dyDescent="0.25">
      <c r="A194">
        <v>2025</v>
      </c>
      <c r="B194" t="s">
        <v>73</v>
      </c>
      <c r="C194" t="s">
        <v>74</v>
      </c>
      <c r="D194" t="str" cm="1">
        <f t="array" ref="D194">_xlfn.XLOOKUP(1,('26 WR'!A:A=E194)*('26 WR'!B:B=F194),'26 WR'!C:C)</f>
        <v>DeVonta Smith</v>
      </c>
      <c r="E194" t="s">
        <v>20</v>
      </c>
      <c r="F194">
        <v>13</v>
      </c>
      <c r="G194">
        <v>31</v>
      </c>
      <c r="H194">
        <v>19.399999999999999</v>
      </c>
      <c r="I194">
        <v>18.3</v>
      </c>
      <c r="J194">
        <v>20.6</v>
      </c>
      <c r="K194">
        <v>13</v>
      </c>
      <c r="L194">
        <v>27.2</v>
      </c>
      <c r="M194">
        <v>30.2</v>
      </c>
      <c r="N194">
        <v>26.3</v>
      </c>
      <c r="O194">
        <v>0</v>
      </c>
      <c r="P194">
        <v>22</v>
      </c>
      <c r="Q194">
        <v>20.3</v>
      </c>
      <c r="R194">
        <v>20.6</v>
      </c>
      <c r="S194">
        <v>37.1</v>
      </c>
      <c r="T194">
        <v>4.3</v>
      </c>
      <c r="U194">
        <v>28.1</v>
      </c>
      <c r="V194">
        <v>18.3</v>
      </c>
      <c r="W194">
        <v>23.6</v>
      </c>
      <c r="X194">
        <v>16.2</v>
      </c>
      <c r="Y194">
        <v>345.50000000000006</v>
      </c>
      <c r="Z194">
        <v>21.2</v>
      </c>
      <c r="AA194">
        <v>3</v>
      </c>
      <c r="AB194">
        <v>1</v>
      </c>
      <c r="AC194">
        <v>16</v>
      </c>
      <c r="AD194">
        <v>14</v>
      </c>
      <c r="AE194">
        <v>10</v>
      </c>
      <c r="AF194">
        <v>5</v>
      </c>
      <c r="AG194">
        <v>2</v>
      </c>
      <c r="AH194">
        <v>0.94117647058823528</v>
      </c>
      <c r="AI194">
        <v>0.82352941176470584</v>
      </c>
      <c r="AJ194">
        <v>0.58823529411764708</v>
      </c>
      <c r="AK194">
        <v>0.29411764705882354</v>
      </c>
      <c r="AL194">
        <v>0.11764705882352941</v>
      </c>
    </row>
    <row r="195" spans="1:38" x14ac:dyDescent="0.25">
      <c r="A195">
        <v>2025</v>
      </c>
      <c r="B195" t="s">
        <v>75</v>
      </c>
      <c r="C195" t="s">
        <v>57</v>
      </c>
      <c r="D195" t="str" cm="1">
        <f t="array" ref="D195">_xlfn.XLOOKUP(1,('26 WR'!A:A=E195)*('26 WR'!B:B=F195),'26 WR'!C:C)</f>
        <v>Tetairoa McMillan</v>
      </c>
      <c r="E195" t="s">
        <v>20</v>
      </c>
      <c r="F195">
        <v>14</v>
      </c>
      <c r="G195">
        <v>32</v>
      </c>
      <c r="H195">
        <v>10.1</v>
      </c>
      <c r="I195">
        <v>10.6</v>
      </c>
      <c r="J195">
        <v>13.3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19.2</v>
      </c>
      <c r="W195">
        <v>14.1</v>
      </c>
      <c r="X195">
        <v>12.1</v>
      </c>
      <c r="Y195">
        <v>79.399999999999991</v>
      </c>
      <c r="Z195">
        <v>10.6</v>
      </c>
      <c r="AA195">
        <v>3</v>
      </c>
      <c r="AB195">
        <v>1</v>
      </c>
      <c r="AC195">
        <v>6</v>
      </c>
      <c r="AD195">
        <v>1</v>
      </c>
      <c r="AE195">
        <v>0</v>
      </c>
      <c r="AF195">
        <v>0</v>
      </c>
      <c r="AG195">
        <v>0</v>
      </c>
      <c r="AH195">
        <v>0.35294117647058826</v>
      </c>
      <c r="AI195">
        <v>0.125</v>
      </c>
      <c r="AJ195">
        <v>0</v>
      </c>
      <c r="AK195">
        <v>0</v>
      </c>
      <c r="AL195">
        <v>0</v>
      </c>
    </row>
    <row r="196" spans="1:38" x14ac:dyDescent="0.25">
      <c r="A196">
        <v>2025</v>
      </c>
      <c r="B196" t="s">
        <v>81</v>
      </c>
      <c r="C196" t="s">
        <v>59</v>
      </c>
      <c r="D196" t="str" cm="1">
        <f t="array" ref="D196">_xlfn.XLOOKUP(1,('26 WR'!A:A=E196)*('26 WR'!B:B=F196),'26 WR'!C:C)</f>
        <v>Garrett Wilson</v>
      </c>
      <c r="E196" t="s">
        <v>20</v>
      </c>
      <c r="F196">
        <v>15</v>
      </c>
      <c r="G196">
        <v>36</v>
      </c>
      <c r="H196">
        <v>8</v>
      </c>
      <c r="I196">
        <v>16.899999999999999</v>
      </c>
      <c r="J196">
        <v>15.9</v>
      </c>
      <c r="K196">
        <v>12.7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53.5</v>
      </c>
      <c r="Z196">
        <v>13.4</v>
      </c>
      <c r="AA196">
        <v>3</v>
      </c>
      <c r="AB196">
        <v>1</v>
      </c>
      <c r="AC196">
        <v>3</v>
      </c>
      <c r="AD196">
        <v>2</v>
      </c>
      <c r="AE196">
        <v>0</v>
      </c>
      <c r="AF196">
        <v>0</v>
      </c>
      <c r="AG196">
        <v>0</v>
      </c>
      <c r="AH196">
        <v>0.17647058823529413</v>
      </c>
      <c r="AI196">
        <v>0.5</v>
      </c>
      <c r="AJ196">
        <v>0</v>
      </c>
      <c r="AK196">
        <v>0</v>
      </c>
      <c r="AL196">
        <v>0</v>
      </c>
    </row>
    <row r="197" spans="1:38" x14ac:dyDescent="0.25">
      <c r="A197">
        <v>2025</v>
      </c>
      <c r="B197" t="s">
        <v>82</v>
      </c>
      <c r="C197" t="s">
        <v>80</v>
      </c>
      <c r="D197" t="str" cm="1">
        <f t="array" ref="D197">_xlfn.XLOOKUP(1,('26 WR'!A:A=E197)*('26 WR'!B:B=F197),'26 WR'!C:C)</f>
        <v>Malik Nabers</v>
      </c>
      <c r="E197" t="s">
        <v>20</v>
      </c>
      <c r="F197">
        <v>16</v>
      </c>
      <c r="G197">
        <v>37</v>
      </c>
      <c r="H197">
        <v>4.7</v>
      </c>
      <c r="I197">
        <v>9.8000000000000007</v>
      </c>
      <c r="J197">
        <v>10.4</v>
      </c>
      <c r="K197">
        <v>0</v>
      </c>
      <c r="L197">
        <v>0</v>
      </c>
      <c r="M197">
        <v>0</v>
      </c>
      <c r="N197">
        <v>0</v>
      </c>
      <c r="O197">
        <v>14.4</v>
      </c>
      <c r="P197">
        <v>0</v>
      </c>
      <c r="Q197">
        <v>0</v>
      </c>
      <c r="R197">
        <v>0</v>
      </c>
      <c r="S197">
        <v>0</v>
      </c>
      <c r="T197">
        <v>22.6</v>
      </c>
      <c r="U197">
        <v>7.1</v>
      </c>
      <c r="V197">
        <v>15.9</v>
      </c>
      <c r="W197">
        <v>8.3000000000000007</v>
      </c>
      <c r="X197">
        <v>11.3</v>
      </c>
      <c r="Y197">
        <v>104.5</v>
      </c>
      <c r="Z197">
        <v>11.4</v>
      </c>
      <c r="AA197">
        <v>4</v>
      </c>
      <c r="AB197">
        <v>1</v>
      </c>
      <c r="AC197">
        <v>5</v>
      </c>
      <c r="AD197">
        <v>2</v>
      </c>
      <c r="AE197">
        <v>1</v>
      </c>
      <c r="AF197">
        <v>0</v>
      </c>
      <c r="AG197">
        <v>0</v>
      </c>
      <c r="AH197">
        <v>0.29411764705882354</v>
      </c>
      <c r="AI197">
        <v>0.2</v>
      </c>
      <c r="AJ197">
        <v>0.1</v>
      </c>
      <c r="AK197">
        <v>0</v>
      </c>
      <c r="AL197">
        <v>0</v>
      </c>
    </row>
    <row r="198" spans="1:38" x14ac:dyDescent="0.25">
      <c r="A198">
        <v>2025</v>
      </c>
      <c r="B198" t="s">
        <v>83</v>
      </c>
      <c r="C198" t="s">
        <v>45</v>
      </c>
      <c r="D198" t="str" cm="1">
        <f t="array" ref="D198">_xlfn.XLOOKUP(1,('26 WR'!A:A=E198)*('26 WR'!B:B=F198),'26 WR'!C:C)</f>
        <v>Tee Higgins</v>
      </c>
      <c r="E198" t="s">
        <v>20</v>
      </c>
      <c r="F198">
        <v>17</v>
      </c>
      <c r="G198">
        <v>38</v>
      </c>
      <c r="H198">
        <v>18.100000000000001</v>
      </c>
      <c r="I198">
        <v>4.7</v>
      </c>
      <c r="J198">
        <v>7.4</v>
      </c>
      <c r="K198">
        <v>18.600000000000001</v>
      </c>
      <c r="L198">
        <v>13.8</v>
      </c>
      <c r="M198">
        <v>5.2</v>
      </c>
      <c r="N198">
        <v>7.8</v>
      </c>
      <c r="O198">
        <v>0</v>
      </c>
      <c r="P198">
        <v>22.6</v>
      </c>
      <c r="Q198">
        <v>14.3</v>
      </c>
      <c r="R198">
        <v>0</v>
      </c>
      <c r="S198">
        <v>0</v>
      </c>
      <c r="T198">
        <v>12.9</v>
      </c>
      <c r="U198">
        <v>0</v>
      </c>
      <c r="V198">
        <v>0</v>
      </c>
      <c r="W198">
        <v>2.4</v>
      </c>
      <c r="X198">
        <v>0</v>
      </c>
      <c r="Y198">
        <v>127.80000000000003</v>
      </c>
      <c r="Z198">
        <v>10.7</v>
      </c>
      <c r="AA198">
        <v>4</v>
      </c>
      <c r="AB198">
        <v>1</v>
      </c>
      <c r="AC198">
        <v>6</v>
      </c>
      <c r="AD198">
        <v>3</v>
      </c>
      <c r="AE198">
        <v>1</v>
      </c>
      <c r="AF198">
        <v>0</v>
      </c>
      <c r="AG198">
        <v>0</v>
      </c>
      <c r="AH198">
        <v>0.35294117647058826</v>
      </c>
      <c r="AI198">
        <v>0.25</v>
      </c>
      <c r="AJ198">
        <v>8.3333333333333329E-2</v>
      </c>
      <c r="AK198">
        <v>0</v>
      </c>
      <c r="AL198">
        <v>0</v>
      </c>
    </row>
    <row r="199" spans="1:38" x14ac:dyDescent="0.25">
      <c r="A199">
        <v>2025</v>
      </c>
      <c r="B199" t="s">
        <v>84</v>
      </c>
      <c r="C199" t="s">
        <v>85</v>
      </c>
      <c r="D199" t="str" cm="1">
        <f t="array" ref="D199">_xlfn.XLOOKUP(1,('26 WR'!A:A=E199)*('26 WR'!B:B=F199),'26 WR'!C:C)</f>
        <v>Zay Flowers</v>
      </c>
      <c r="E199" t="s">
        <v>20</v>
      </c>
      <c r="F199">
        <v>18</v>
      </c>
      <c r="G199">
        <v>39</v>
      </c>
      <c r="H199">
        <v>0</v>
      </c>
      <c r="I199">
        <v>0</v>
      </c>
      <c r="J199">
        <v>0</v>
      </c>
      <c r="K199">
        <v>17.100000000000001</v>
      </c>
      <c r="L199">
        <v>11.1</v>
      </c>
      <c r="M199">
        <v>10.6</v>
      </c>
      <c r="N199">
        <v>7.8</v>
      </c>
      <c r="O199">
        <v>10.3</v>
      </c>
      <c r="P199">
        <v>6</v>
      </c>
      <c r="Q199">
        <v>0</v>
      </c>
      <c r="R199">
        <v>5.5</v>
      </c>
      <c r="S199">
        <v>9.9</v>
      </c>
      <c r="T199">
        <v>11.4</v>
      </c>
      <c r="U199">
        <v>8.5</v>
      </c>
      <c r="V199">
        <v>5.5</v>
      </c>
      <c r="W199">
        <v>6.1</v>
      </c>
      <c r="X199">
        <v>0.1</v>
      </c>
      <c r="Y199">
        <v>109.9</v>
      </c>
      <c r="Z199">
        <v>7.9</v>
      </c>
      <c r="AA199">
        <v>4</v>
      </c>
      <c r="AB199">
        <v>1</v>
      </c>
      <c r="AC199">
        <v>5</v>
      </c>
      <c r="AD199">
        <v>1</v>
      </c>
      <c r="AE199">
        <v>0</v>
      </c>
      <c r="AF199">
        <v>0</v>
      </c>
      <c r="AG199">
        <v>0</v>
      </c>
      <c r="AH199">
        <v>0.29411764705882354</v>
      </c>
      <c r="AI199">
        <v>7.1428571428571425E-2</v>
      </c>
      <c r="AJ199">
        <v>0</v>
      </c>
      <c r="AK199">
        <v>0</v>
      </c>
      <c r="AL199">
        <v>0</v>
      </c>
    </row>
    <row r="200" spans="1:38" x14ac:dyDescent="0.25">
      <c r="A200">
        <v>2025</v>
      </c>
      <c r="B200" t="s">
        <v>87</v>
      </c>
      <c r="C200" t="s">
        <v>49</v>
      </c>
      <c r="D200" t="str" cm="1">
        <f t="array" ref="D200">_xlfn.XLOOKUP(1,('26 WR'!A:A=E200)*('26 WR'!B:B=F200),'26 WR'!C:C)</f>
        <v>Ladd McConkey</v>
      </c>
      <c r="E200" t="s">
        <v>20</v>
      </c>
      <c r="F200">
        <v>19</v>
      </c>
      <c r="G200">
        <v>41</v>
      </c>
      <c r="H200">
        <v>9.1</v>
      </c>
      <c r="I200">
        <v>22.6</v>
      </c>
      <c r="J200">
        <v>14.6</v>
      </c>
      <c r="K200">
        <v>15.6</v>
      </c>
      <c r="L200">
        <v>13.8</v>
      </c>
      <c r="M200">
        <v>7.9</v>
      </c>
      <c r="N200">
        <v>26.5</v>
      </c>
      <c r="O200">
        <v>0</v>
      </c>
      <c r="P200">
        <v>23</v>
      </c>
      <c r="Q200">
        <v>19.7</v>
      </c>
      <c r="R200">
        <v>7.1</v>
      </c>
      <c r="S200">
        <v>23.2</v>
      </c>
      <c r="T200">
        <v>21.8</v>
      </c>
      <c r="U200">
        <v>6.9</v>
      </c>
      <c r="V200">
        <v>11.1</v>
      </c>
      <c r="W200">
        <v>0</v>
      </c>
      <c r="X200">
        <v>0</v>
      </c>
      <c r="Y200">
        <v>222.9</v>
      </c>
      <c r="Z200">
        <v>15.9</v>
      </c>
      <c r="AA200">
        <v>4</v>
      </c>
      <c r="AB200">
        <v>1</v>
      </c>
      <c r="AC200">
        <v>10</v>
      </c>
      <c r="AD200">
        <v>7</v>
      </c>
      <c r="AE200">
        <v>5</v>
      </c>
      <c r="AF200">
        <v>1</v>
      </c>
      <c r="AG200">
        <v>0</v>
      </c>
      <c r="AH200">
        <v>0.58823529411764708</v>
      </c>
      <c r="AI200">
        <v>0.5</v>
      </c>
      <c r="AJ200">
        <v>0.35714285714285715</v>
      </c>
      <c r="AK200">
        <v>7.1428571428571425E-2</v>
      </c>
      <c r="AL200">
        <v>0</v>
      </c>
    </row>
    <row r="201" spans="1:38" x14ac:dyDescent="0.25">
      <c r="A201">
        <v>2025</v>
      </c>
      <c r="B201" t="s">
        <v>89</v>
      </c>
      <c r="C201" t="s">
        <v>90</v>
      </c>
      <c r="D201" t="str" cm="1">
        <f t="array" ref="D201">_xlfn.XLOOKUP(1,('26 WR'!A:A=E201)*('26 WR'!B:B=F201),'26 WR'!C:C)</f>
        <v>Jaylen Waddle</v>
      </c>
      <c r="E201" t="s">
        <v>20</v>
      </c>
      <c r="F201">
        <v>20</v>
      </c>
      <c r="G201">
        <v>43</v>
      </c>
      <c r="H201">
        <v>22.5</v>
      </c>
      <c r="I201">
        <v>9</v>
      </c>
      <c r="J201">
        <v>24.4</v>
      </c>
      <c r="K201">
        <v>20.2</v>
      </c>
      <c r="L201">
        <v>19.100000000000001</v>
      </c>
      <c r="M201">
        <v>4.3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99.499999999999986</v>
      </c>
      <c r="Z201">
        <v>14.2</v>
      </c>
      <c r="AA201">
        <v>4</v>
      </c>
      <c r="AB201">
        <v>1</v>
      </c>
      <c r="AC201">
        <v>4</v>
      </c>
      <c r="AD201">
        <v>4</v>
      </c>
      <c r="AE201">
        <v>3</v>
      </c>
      <c r="AF201">
        <v>0</v>
      </c>
      <c r="AG201">
        <v>0</v>
      </c>
      <c r="AH201">
        <v>0.23529411764705882</v>
      </c>
      <c r="AI201">
        <v>0.5714285714285714</v>
      </c>
      <c r="AJ201">
        <v>0.42857142857142855</v>
      </c>
      <c r="AK201">
        <v>0</v>
      </c>
      <c r="AL201">
        <v>0</v>
      </c>
    </row>
    <row r="202" spans="1:38" x14ac:dyDescent="0.25">
      <c r="A202">
        <v>2025</v>
      </c>
      <c r="B202" t="s">
        <v>91</v>
      </c>
      <c r="C202" t="s">
        <v>92</v>
      </c>
      <c r="D202" t="str" cm="1">
        <f t="array" ref="D202">_xlfn.XLOOKUP(1,('26 WR'!A:A=E202)*('26 WR'!B:B=F202),'26 WR'!C:C)</f>
        <v>Emeka Egbuka</v>
      </c>
      <c r="E202" t="s">
        <v>20</v>
      </c>
      <c r="F202">
        <v>21</v>
      </c>
      <c r="G202">
        <v>44</v>
      </c>
      <c r="H202">
        <v>11.8</v>
      </c>
      <c r="I202">
        <v>16</v>
      </c>
      <c r="J202">
        <v>7.8</v>
      </c>
      <c r="K202">
        <v>10.199999999999999</v>
      </c>
      <c r="L202">
        <v>13.3</v>
      </c>
      <c r="M202">
        <v>17.899999999999999</v>
      </c>
      <c r="N202">
        <v>6.3</v>
      </c>
      <c r="O202">
        <v>16.899999999999999</v>
      </c>
      <c r="P202">
        <v>8.6</v>
      </c>
      <c r="Q202">
        <v>11</v>
      </c>
      <c r="R202">
        <v>33</v>
      </c>
      <c r="S202">
        <v>11.5</v>
      </c>
      <c r="T202">
        <v>11.3</v>
      </c>
      <c r="U202">
        <v>0</v>
      </c>
      <c r="V202">
        <v>4.5</v>
      </c>
      <c r="W202">
        <v>19.3</v>
      </c>
      <c r="X202">
        <v>1.5</v>
      </c>
      <c r="Y202">
        <v>200.9</v>
      </c>
      <c r="Z202">
        <v>12.4</v>
      </c>
      <c r="AA202">
        <v>4</v>
      </c>
      <c r="AB202">
        <v>1</v>
      </c>
      <c r="AC202">
        <v>12</v>
      </c>
      <c r="AD202">
        <v>5</v>
      </c>
      <c r="AE202">
        <v>1</v>
      </c>
      <c r="AF202">
        <v>1</v>
      </c>
      <c r="AG202">
        <v>1</v>
      </c>
      <c r="AH202">
        <v>0.70588235294117652</v>
      </c>
      <c r="AI202">
        <v>0.29411764705882354</v>
      </c>
      <c r="AJ202">
        <v>5.8823529411764705E-2</v>
      </c>
      <c r="AK202">
        <v>5.8823529411764705E-2</v>
      </c>
      <c r="AL202">
        <v>5.8823529411764705E-2</v>
      </c>
    </row>
    <row r="203" spans="1:38" x14ac:dyDescent="0.25">
      <c r="A203">
        <v>2025</v>
      </c>
      <c r="B203" t="s">
        <v>97</v>
      </c>
      <c r="C203" t="s">
        <v>98</v>
      </c>
      <c r="D203" t="str" cm="1">
        <f t="array" ref="D203">_xlfn.XLOOKUP(1,('26 WR'!A:A=E203)*('26 WR'!B:B=F203),'26 WR'!C:C)</f>
        <v>Terry McLaurin</v>
      </c>
      <c r="E203" t="s">
        <v>20</v>
      </c>
      <c r="F203">
        <v>22</v>
      </c>
      <c r="G203">
        <v>48</v>
      </c>
      <c r="H203">
        <v>18.100000000000001</v>
      </c>
      <c r="I203">
        <v>1.6</v>
      </c>
      <c r="J203">
        <v>23.8</v>
      </c>
      <c r="K203">
        <v>19.100000000000001</v>
      </c>
      <c r="L203">
        <v>17.899999999999999</v>
      </c>
      <c r="M203">
        <v>2.7</v>
      </c>
      <c r="N203">
        <v>16.7</v>
      </c>
      <c r="O203">
        <v>10.7</v>
      </c>
      <c r="P203">
        <v>10</v>
      </c>
      <c r="Q203">
        <v>5.4</v>
      </c>
      <c r="R203">
        <v>9.9</v>
      </c>
      <c r="S203">
        <v>0</v>
      </c>
      <c r="T203">
        <v>17.2</v>
      </c>
      <c r="U203">
        <v>12.2</v>
      </c>
      <c r="V203">
        <v>24.3</v>
      </c>
      <c r="W203">
        <v>20.6</v>
      </c>
      <c r="X203">
        <v>8</v>
      </c>
      <c r="Y203">
        <v>218.2</v>
      </c>
      <c r="Z203">
        <v>12.9</v>
      </c>
      <c r="AA203">
        <v>4</v>
      </c>
      <c r="AB203">
        <v>1</v>
      </c>
      <c r="AC203">
        <v>10</v>
      </c>
      <c r="AD203">
        <v>8</v>
      </c>
      <c r="AE203">
        <v>3</v>
      </c>
      <c r="AF203">
        <v>0</v>
      </c>
      <c r="AG203">
        <v>0</v>
      </c>
      <c r="AH203">
        <v>0.58823529411764708</v>
      </c>
      <c r="AI203">
        <v>0.47058823529411764</v>
      </c>
      <c r="AJ203">
        <v>0.17647058823529413</v>
      </c>
      <c r="AK203">
        <v>0</v>
      </c>
      <c r="AL203">
        <v>0</v>
      </c>
    </row>
    <row r="204" spans="1:38" x14ac:dyDescent="0.25">
      <c r="A204">
        <v>2025</v>
      </c>
      <c r="B204" t="s">
        <v>99</v>
      </c>
      <c r="C204" t="s">
        <v>35</v>
      </c>
      <c r="D204" t="str" cm="1">
        <f t="array" ref="D204">_xlfn.XLOOKUP(1,('26 WR'!A:A=E204)*('26 WR'!B:B=F204),'26 WR'!C:C)</f>
        <v>Luther Burden III</v>
      </c>
      <c r="E204" t="s">
        <v>20</v>
      </c>
      <c r="F204">
        <v>23</v>
      </c>
      <c r="G204">
        <v>49</v>
      </c>
      <c r="H204">
        <v>6</v>
      </c>
      <c r="I204">
        <v>17.8</v>
      </c>
      <c r="J204">
        <v>17.8</v>
      </c>
      <c r="K204">
        <v>33.4</v>
      </c>
      <c r="L204">
        <v>13.7</v>
      </c>
      <c r="M204">
        <v>31.8</v>
      </c>
      <c r="N204">
        <v>12.2</v>
      </c>
      <c r="O204">
        <v>14.8</v>
      </c>
      <c r="P204">
        <v>13.9</v>
      </c>
      <c r="Q204">
        <v>0</v>
      </c>
      <c r="R204">
        <v>29.4</v>
      </c>
      <c r="S204">
        <v>29.6</v>
      </c>
      <c r="T204">
        <v>16.8</v>
      </c>
      <c r="U204">
        <v>8.6999999999999993</v>
      </c>
      <c r="V204">
        <v>6.3</v>
      </c>
      <c r="W204">
        <v>26</v>
      </c>
      <c r="X204">
        <v>11.8</v>
      </c>
      <c r="Y204">
        <v>290.00000000000006</v>
      </c>
      <c r="Z204">
        <v>17.2</v>
      </c>
      <c r="AA204">
        <v>4</v>
      </c>
      <c r="AB204">
        <v>1</v>
      </c>
      <c r="AC204">
        <v>13</v>
      </c>
      <c r="AD204">
        <v>8</v>
      </c>
      <c r="AE204">
        <v>5</v>
      </c>
      <c r="AF204">
        <v>5</v>
      </c>
      <c r="AG204">
        <v>2</v>
      </c>
      <c r="AH204">
        <v>0.76470588235294112</v>
      </c>
      <c r="AI204">
        <v>0.47058823529411764</v>
      </c>
      <c r="AJ204">
        <v>0.29411764705882354</v>
      </c>
      <c r="AK204">
        <v>0.29411764705882354</v>
      </c>
      <c r="AL204">
        <v>0.11764705882352941</v>
      </c>
    </row>
    <row r="205" spans="1:38" x14ac:dyDescent="0.25">
      <c r="A205">
        <v>2025</v>
      </c>
      <c r="B205" t="s">
        <v>101</v>
      </c>
      <c r="C205" t="s">
        <v>37</v>
      </c>
      <c r="D205" t="str" cm="1">
        <f t="array" ref="D205">_xlfn.XLOOKUP(1,('26 WR'!A:A=E205)*('26 WR'!B:B=F205),'26 WR'!C:C)</f>
        <v>Davante Adams</v>
      </c>
      <c r="E205" t="s">
        <v>20</v>
      </c>
      <c r="F205">
        <v>24</v>
      </c>
      <c r="G205">
        <v>51</v>
      </c>
      <c r="H205">
        <v>6.6</v>
      </c>
      <c r="I205">
        <v>18.8</v>
      </c>
      <c r="J205">
        <v>6.3</v>
      </c>
      <c r="K205">
        <v>5.7</v>
      </c>
      <c r="L205">
        <v>2</v>
      </c>
      <c r="M205">
        <v>18.600000000000001</v>
      </c>
      <c r="N205">
        <v>0</v>
      </c>
      <c r="O205">
        <v>0</v>
      </c>
      <c r="P205">
        <v>16.600000000000001</v>
      </c>
      <c r="Q205">
        <v>23.9</v>
      </c>
      <c r="R205">
        <v>19.7</v>
      </c>
      <c r="S205">
        <v>0</v>
      </c>
      <c r="T205">
        <v>26.9</v>
      </c>
      <c r="U205">
        <v>17.3</v>
      </c>
      <c r="V205">
        <v>26.4</v>
      </c>
      <c r="W205">
        <v>12</v>
      </c>
      <c r="X205">
        <v>5.7</v>
      </c>
      <c r="Y205">
        <v>206.5</v>
      </c>
      <c r="Z205">
        <v>12.9</v>
      </c>
      <c r="AA205">
        <v>5</v>
      </c>
      <c r="AB205">
        <v>1</v>
      </c>
      <c r="AC205">
        <v>10</v>
      </c>
      <c r="AD205">
        <v>8</v>
      </c>
      <c r="AE205">
        <v>3</v>
      </c>
      <c r="AF205">
        <v>2</v>
      </c>
      <c r="AG205">
        <v>0</v>
      </c>
      <c r="AH205">
        <v>0.58823529411764708</v>
      </c>
      <c r="AI205">
        <v>0.47058823529411764</v>
      </c>
      <c r="AJ205">
        <v>0.17647058823529413</v>
      </c>
      <c r="AK205">
        <v>0.11764705882352941</v>
      </c>
      <c r="AL205">
        <v>0</v>
      </c>
    </row>
    <row r="206" spans="1:38" x14ac:dyDescent="0.25">
      <c r="A206">
        <v>2025</v>
      </c>
      <c r="B206" t="s">
        <v>102</v>
      </c>
      <c r="C206" t="s">
        <v>57</v>
      </c>
      <c r="D206" t="str" cm="1">
        <f t="array" ref="D206">_xlfn.XLOOKUP(1,('26 WR'!A:A=E206)*('26 WR'!B:B=F206),'26 WR'!C:C)</f>
        <v>Mike Evans</v>
      </c>
      <c r="E206" t="s">
        <v>20</v>
      </c>
      <c r="F206">
        <v>25</v>
      </c>
      <c r="G206">
        <v>52</v>
      </c>
      <c r="H206">
        <v>23.6</v>
      </c>
      <c r="I206">
        <v>12.9</v>
      </c>
      <c r="J206">
        <v>14.5</v>
      </c>
      <c r="K206">
        <v>20.100000000000001</v>
      </c>
      <c r="L206">
        <v>31.3</v>
      </c>
      <c r="M206">
        <v>4.4000000000000004</v>
      </c>
      <c r="N206">
        <v>9.8000000000000007</v>
      </c>
      <c r="O206">
        <v>6.5</v>
      </c>
      <c r="P206">
        <v>0</v>
      </c>
      <c r="Q206">
        <v>23.5</v>
      </c>
      <c r="R206">
        <v>9</v>
      </c>
      <c r="S206">
        <v>6.2</v>
      </c>
      <c r="T206">
        <v>8.1999999999999993</v>
      </c>
      <c r="U206">
        <v>3.5</v>
      </c>
      <c r="V206">
        <v>10.4</v>
      </c>
      <c r="W206">
        <v>5</v>
      </c>
      <c r="X206">
        <v>5</v>
      </c>
      <c r="Y206">
        <v>193.89999999999998</v>
      </c>
      <c r="Z206">
        <v>11.5</v>
      </c>
      <c r="AA206">
        <v>5</v>
      </c>
      <c r="AB206">
        <v>1</v>
      </c>
      <c r="AC206">
        <v>7</v>
      </c>
      <c r="AD206">
        <v>4</v>
      </c>
      <c r="AE206">
        <v>4</v>
      </c>
      <c r="AF206">
        <v>1</v>
      </c>
      <c r="AG206">
        <v>1</v>
      </c>
      <c r="AH206">
        <v>0.41176470588235292</v>
      </c>
      <c r="AI206">
        <v>0.23529411764705882</v>
      </c>
      <c r="AJ206">
        <v>0.23529411764705882</v>
      </c>
      <c r="AK206">
        <v>5.8823529411764705E-2</v>
      </c>
      <c r="AL206">
        <v>5.8823529411764705E-2</v>
      </c>
    </row>
    <row r="207" spans="1:38" x14ac:dyDescent="0.25">
      <c r="A207">
        <v>2025</v>
      </c>
      <c r="B207" t="s">
        <v>107</v>
      </c>
      <c r="C207" t="s">
        <v>108</v>
      </c>
      <c r="D207" t="str" cm="1">
        <f t="array" ref="D207">_xlfn.XLOOKUP(1,('26 WR'!A:A=E207)*('26 WR'!B:B=F207),'26 WR'!C:C)</f>
        <v>DJ Moore</v>
      </c>
      <c r="E207" t="s">
        <v>20</v>
      </c>
      <c r="F207">
        <v>26</v>
      </c>
      <c r="G207">
        <v>57</v>
      </c>
      <c r="H207">
        <v>12.3</v>
      </c>
      <c r="I207">
        <v>11</v>
      </c>
      <c r="J207">
        <v>12.2</v>
      </c>
      <c r="K207">
        <v>23.6</v>
      </c>
      <c r="L207">
        <v>0</v>
      </c>
      <c r="M207">
        <v>19.5</v>
      </c>
      <c r="N207">
        <v>8</v>
      </c>
      <c r="O207">
        <v>16.5</v>
      </c>
      <c r="P207">
        <v>2.6</v>
      </c>
      <c r="Q207">
        <v>6.5</v>
      </c>
      <c r="R207">
        <v>9.9</v>
      </c>
      <c r="S207">
        <v>14.4</v>
      </c>
      <c r="T207">
        <v>6.2</v>
      </c>
      <c r="U207">
        <v>21.8</v>
      </c>
      <c r="V207">
        <v>14.5</v>
      </c>
      <c r="W207">
        <v>8.1999999999999993</v>
      </c>
      <c r="X207">
        <v>0</v>
      </c>
      <c r="Y207">
        <v>187.2</v>
      </c>
      <c r="Z207">
        <v>12.5</v>
      </c>
      <c r="AA207">
        <v>5</v>
      </c>
      <c r="AB207">
        <v>1</v>
      </c>
      <c r="AC207">
        <v>9</v>
      </c>
      <c r="AD207">
        <v>4</v>
      </c>
      <c r="AE207">
        <v>2</v>
      </c>
      <c r="AF207">
        <v>0</v>
      </c>
      <c r="AG207">
        <v>0</v>
      </c>
      <c r="AH207">
        <v>0.52941176470588236</v>
      </c>
      <c r="AI207">
        <v>0.26666666666666666</v>
      </c>
      <c r="AJ207">
        <v>0.13333333333333333</v>
      </c>
      <c r="AK207">
        <v>0</v>
      </c>
      <c r="AL207">
        <v>0</v>
      </c>
    </row>
    <row r="208" spans="1:38" x14ac:dyDescent="0.25">
      <c r="A208">
        <v>2025</v>
      </c>
      <c r="B208" t="s">
        <v>109</v>
      </c>
      <c r="C208" t="s">
        <v>110</v>
      </c>
      <c r="D208" t="str" cm="1">
        <f t="array" ref="D208">_xlfn.XLOOKUP(1,('26 WR'!A:A=E208)*('26 WR'!B:B=F208),'26 WR'!C:C)</f>
        <v>Jameson Williams</v>
      </c>
      <c r="E208" t="s">
        <v>20</v>
      </c>
      <c r="F208">
        <v>27</v>
      </c>
      <c r="G208">
        <v>58</v>
      </c>
      <c r="H208">
        <v>8.6</v>
      </c>
      <c r="I208">
        <v>9.6</v>
      </c>
      <c r="J208">
        <v>12.8</v>
      </c>
      <c r="K208">
        <v>7.8</v>
      </c>
      <c r="L208">
        <v>0</v>
      </c>
      <c r="M208">
        <v>8.1999999999999993</v>
      </c>
      <c r="N208">
        <v>8.1999999999999993</v>
      </c>
      <c r="O208">
        <v>11.6</v>
      </c>
      <c r="P208">
        <v>23</v>
      </c>
      <c r="Q208">
        <v>0</v>
      </c>
      <c r="R208">
        <v>3.1</v>
      </c>
      <c r="S208">
        <v>23.4</v>
      </c>
      <c r="T208">
        <v>4.7</v>
      </c>
      <c r="U208">
        <v>0.6</v>
      </c>
      <c r="V208">
        <v>22.9</v>
      </c>
      <c r="W208">
        <v>21.9</v>
      </c>
      <c r="X208">
        <v>1.7</v>
      </c>
      <c r="Y208">
        <v>168.09999999999997</v>
      </c>
      <c r="Z208">
        <v>10</v>
      </c>
      <c r="AA208">
        <v>5</v>
      </c>
      <c r="AB208">
        <v>1</v>
      </c>
      <c r="AC208">
        <v>6</v>
      </c>
      <c r="AD208">
        <v>4</v>
      </c>
      <c r="AE208">
        <v>4</v>
      </c>
      <c r="AF208">
        <v>0</v>
      </c>
      <c r="AG208">
        <v>0</v>
      </c>
      <c r="AH208">
        <v>0.35294117647058826</v>
      </c>
      <c r="AI208">
        <v>0.23529411764705882</v>
      </c>
      <c r="AJ208">
        <v>0.23529411764705882</v>
      </c>
      <c r="AK208">
        <v>0</v>
      </c>
      <c r="AL208">
        <v>0</v>
      </c>
    </row>
    <row r="209" spans="1:38" x14ac:dyDescent="0.25">
      <c r="A209">
        <v>2025</v>
      </c>
      <c r="B209" t="s">
        <v>111</v>
      </c>
      <c r="C209" t="s">
        <v>26</v>
      </c>
      <c r="D209" t="str" cm="1">
        <f t="array" ref="D209">_xlfn.XLOOKUP(1,('26 WR'!A:A=E209)*('26 WR'!B:B=F209),'26 WR'!C:C)</f>
        <v>Christian Watson</v>
      </c>
      <c r="E209" t="s">
        <v>20</v>
      </c>
      <c r="F209">
        <v>28</v>
      </c>
      <c r="G209">
        <v>59</v>
      </c>
      <c r="H209">
        <v>14.8</v>
      </c>
      <c r="I209">
        <v>9.1999999999999993</v>
      </c>
      <c r="J209">
        <v>19.7</v>
      </c>
      <c r="K209">
        <v>8.6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2.8</v>
      </c>
      <c r="T209">
        <v>3.4</v>
      </c>
      <c r="U209">
        <v>0</v>
      </c>
      <c r="V209">
        <v>15.6</v>
      </c>
      <c r="W209">
        <v>0</v>
      </c>
      <c r="X209">
        <v>13.5</v>
      </c>
      <c r="Y209">
        <v>88.6</v>
      </c>
      <c r="Z209">
        <v>8.9</v>
      </c>
      <c r="AA209">
        <v>5</v>
      </c>
      <c r="AB209">
        <v>1</v>
      </c>
      <c r="AC209">
        <v>4</v>
      </c>
      <c r="AD209">
        <v>2</v>
      </c>
      <c r="AE209">
        <v>0</v>
      </c>
      <c r="AF209">
        <v>0</v>
      </c>
      <c r="AG209">
        <v>0</v>
      </c>
      <c r="AH209">
        <v>0.23529411764705882</v>
      </c>
      <c r="AI209">
        <v>0.2</v>
      </c>
      <c r="AJ209">
        <v>0</v>
      </c>
      <c r="AK209">
        <v>0</v>
      </c>
      <c r="AL209">
        <v>0</v>
      </c>
    </row>
    <row r="210" spans="1:38" x14ac:dyDescent="0.25">
      <c r="A210">
        <v>2025</v>
      </c>
      <c r="B210" t="s">
        <v>113</v>
      </c>
      <c r="C210" t="s">
        <v>114</v>
      </c>
      <c r="D210" t="str" cm="1">
        <f t="array" ref="D210">_xlfn.XLOOKUP(1,('26 WR'!A:A=E210)*('26 WR'!B:B=F210),'26 WR'!C:C)</f>
        <v>Rome Odunze</v>
      </c>
      <c r="E210" t="s">
        <v>20</v>
      </c>
      <c r="F210">
        <v>29</v>
      </c>
      <c r="G210">
        <v>61</v>
      </c>
      <c r="H210">
        <v>6.7</v>
      </c>
      <c r="I210">
        <v>8.6999999999999993</v>
      </c>
      <c r="J210">
        <v>3.7</v>
      </c>
      <c r="K210">
        <v>5</v>
      </c>
      <c r="L210">
        <v>18.100000000000001</v>
      </c>
      <c r="M210">
        <v>2.8</v>
      </c>
      <c r="N210">
        <v>0</v>
      </c>
      <c r="O210">
        <v>0</v>
      </c>
      <c r="P210">
        <v>0</v>
      </c>
      <c r="Q210">
        <v>0</v>
      </c>
      <c r="R210">
        <v>2.2999999999999998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47.3</v>
      </c>
      <c r="Z210">
        <v>6.8</v>
      </c>
      <c r="AA210">
        <v>20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5.8823529411764705E-2</v>
      </c>
      <c r="AI210">
        <v>0.14285714285714285</v>
      </c>
      <c r="AJ210">
        <v>0</v>
      </c>
      <c r="AK210">
        <v>0</v>
      </c>
      <c r="AL210">
        <v>0</v>
      </c>
    </row>
    <row r="211" spans="1:38" x14ac:dyDescent="0.25">
      <c r="A211">
        <v>2025</v>
      </c>
      <c r="B211" t="s">
        <v>115</v>
      </c>
      <c r="C211" t="s">
        <v>33</v>
      </c>
      <c r="D211" t="str" cm="1">
        <f t="array" ref="D211">_xlfn.XLOOKUP(1,('26 WR'!A:A=E211)*('26 WR'!B:B=F211),'26 WR'!C:C)</f>
        <v>Carnell Tate</v>
      </c>
      <c r="E211" t="s">
        <v>20</v>
      </c>
      <c r="F211">
        <v>30</v>
      </c>
      <c r="G211">
        <v>62</v>
      </c>
      <c r="H211">
        <v>4.5999999999999996</v>
      </c>
      <c r="I211">
        <v>9.3000000000000007</v>
      </c>
      <c r="J211">
        <v>20</v>
      </c>
      <c r="K211">
        <v>4.9000000000000004</v>
      </c>
      <c r="L211">
        <v>19.399999999999999</v>
      </c>
      <c r="M211">
        <v>8.9</v>
      </c>
      <c r="N211">
        <v>33.299999999999997</v>
      </c>
      <c r="O211">
        <v>14.4</v>
      </c>
      <c r="P211">
        <v>0</v>
      </c>
      <c r="Q211">
        <v>16.899999999999999</v>
      </c>
      <c r="R211">
        <v>1.8</v>
      </c>
      <c r="S211">
        <v>14.9</v>
      </c>
      <c r="T211">
        <v>9.8000000000000007</v>
      </c>
      <c r="U211">
        <v>7.7</v>
      </c>
      <c r="V211">
        <v>7</v>
      </c>
      <c r="W211">
        <v>16.2</v>
      </c>
      <c r="X211">
        <v>4.5</v>
      </c>
      <c r="Y211">
        <v>193.6</v>
      </c>
      <c r="Z211">
        <v>11.9</v>
      </c>
      <c r="AA211">
        <v>5</v>
      </c>
      <c r="AB211">
        <v>1</v>
      </c>
      <c r="AC211">
        <v>7</v>
      </c>
      <c r="AD211">
        <v>5</v>
      </c>
      <c r="AE211">
        <v>1</v>
      </c>
      <c r="AF211">
        <v>1</v>
      </c>
      <c r="AG211">
        <v>1</v>
      </c>
      <c r="AH211">
        <v>0.41176470588235292</v>
      </c>
      <c r="AI211">
        <v>0.29411764705882354</v>
      </c>
      <c r="AJ211">
        <v>5.8823529411764705E-2</v>
      </c>
      <c r="AK211">
        <v>5.8823529411764705E-2</v>
      </c>
      <c r="AL211">
        <v>5.8823529411764705E-2</v>
      </c>
    </row>
    <row r="212" spans="1:38" x14ac:dyDescent="0.25">
      <c r="A212">
        <v>2025</v>
      </c>
      <c r="B212" t="s">
        <v>118</v>
      </c>
      <c r="C212" t="s">
        <v>41</v>
      </c>
      <c r="D212" t="str" cm="1">
        <f t="array" ref="D212">_xlfn.XLOOKUP(1,('26 WR'!A:A=E212)*('26 WR'!B:B=F212),'26 WR'!C:C)</f>
        <v>Marvin Harrison Jr.</v>
      </c>
      <c r="E212" t="s">
        <v>20</v>
      </c>
      <c r="F212">
        <v>31</v>
      </c>
      <c r="G212">
        <v>65</v>
      </c>
      <c r="H212">
        <v>28.1</v>
      </c>
      <c r="I212">
        <v>14.9</v>
      </c>
      <c r="J212">
        <v>3.3</v>
      </c>
      <c r="K212">
        <v>14.4</v>
      </c>
      <c r="L212">
        <v>12.2</v>
      </c>
      <c r="M212">
        <v>8.6</v>
      </c>
      <c r="N212">
        <v>0</v>
      </c>
      <c r="O212">
        <v>14.1</v>
      </c>
      <c r="P212">
        <v>11.4</v>
      </c>
      <c r="Q212">
        <v>12.1</v>
      </c>
      <c r="R212">
        <v>11.3</v>
      </c>
      <c r="S212">
        <v>11.9</v>
      </c>
      <c r="T212">
        <v>0.6</v>
      </c>
      <c r="U212">
        <v>20.6</v>
      </c>
      <c r="V212">
        <v>15.8</v>
      </c>
      <c r="W212">
        <v>21.2</v>
      </c>
      <c r="X212">
        <v>13</v>
      </c>
      <c r="Y212">
        <v>213.49999999999997</v>
      </c>
      <c r="Z212">
        <v>14.3</v>
      </c>
      <c r="AA212">
        <v>6</v>
      </c>
      <c r="AB212">
        <v>1</v>
      </c>
      <c r="AC212">
        <v>14</v>
      </c>
      <c r="AD212">
        <v>5</v>
      </c>
      <c r="AE212">
        <v>4</v>
      </c>
      <c r="AF212">
        <v>2</v>
      </c>
      <c r="AG212">
        <v>0</v>
      </c>
      <c r="AH212">
        <v>0.82352941176470584</v>
      </c>
      <c r="AI212">
        <v>0.29411764705882354</v>
      </c>
      <c r="AJ212">
        <v>0.23529411764705882</v>
      </c>
      <c r="AK212">
        <v>0.11764705882352941</v>
      </c>
      <c r="AL212">
        <v>0</v>
      </c>
    </row>
    <row r="213" spans="1:38" x14ac:dyDescent="0.25">
      <c r="A213">
        <v>2025</v>
      </c>
      <c r="B213" t="s">
        <v>119</v>
      </c>
      <c r="C213" t="s">
        <v>59</v>
      </c>
      <c r="D213" t="str" cm="1">
        <f t="array" ref="D213">_xlfn.XLOOKUP(1,('26 WR'!A:A=E213)*('26 WR'!B:B=F213),'26 WR'!C:C)</f>
        <v>Alec Pierce</v>
      </c>
      <c r="E213" t="s">
        <v>20</v>
      </c>
      <c r="F213">
        <v>32</v>
      </c>
      <c r="G213">
        <v>66</v>
      </c>
      <c r="H213">
        <v>7</v>
      </c>
      <c r="I213">
        <v>17.8</v>
      </c>
      <c r="J213">
        <v>14.9</v>
      </c>
      <c r="K213">
        <v>7.8</v>
      </c>
      <c r="L213">
        <v>23</v>
      </c>
      <c r="M213">
        <v>15.8</v>
      </c>
      <c r="N213">
        <v>2.5</v>
      </c>
      <c r="O213">
        <v>20.9</v>
      </c>
      <c r="P213">
        <v>14.2</v>
      </c>
      <c r="Q213">
        <v>19.399999999999999</v>
      </c>
      <c r="R213">
        <v>8.1999999999999993</v>
      </c>
      <c r="S213">
        <v>0</v>
      </c>
      <c r="T213">
        <v>7</v>
      </c>
      <c r="U213">
        <v>18.100000000000001</v>
      </c>
      <c r="V213">
        <v>4.5999999999999996</v>
      </c>
      <c r="W213">
        <v>12.2</v>
      </c>
      <c r="X213">
        <v>0.7</v>
      </c>
      <c r="Y213">
        <v>194.09999999999994</v>
      </c>
      <c r="Z213">
        <v>12.1</v>
      </c>
      <c r="AA213">
        <v>6</v>
      </c>
      <c r="AB213">
        <v>1</v>
      </c>
      <c r="AC213">
        <v>9</v>
      </c>
      <c r="AD213">
        <v>6</v>
      </c>
      <c r="AE213">
        <v>2</v>
      </c>
      <c r="AF213">
        <v>0</v>
      </c>
      <c r="AG213">
        <v>0</v>
      </c>
      <c r="AH213">
        <v>0.52941176470588236</v>
      </c>
      <c r="AI213">
        <v>0.375</v>
      </c>
      <c r="AJ213">
        <v>0.125</v>
      </c>
      <c r="AK213">
        <v>0</v>
      </c>
      <c r="AL213">
        <v>0</v>
      </c>
    </row>
    <row r="214" spans="1:38" x14ac:dyDescent="0.25">
      <c r="A214">
        <v>2025</v>
      </c>
      <c r="B214" t="s">
        <v>121</v>
      </c>
      <c r="C214" t="s">
        <v>61</v>
      </c>
      <c r="D214" t="str" cm="1">
        <f t="array" ref="D214">_xlfn.XLOOKUP(1,('26 WR'!A:A=E214)*('26 WR'!B:B=F214),'26 WR'!C:C)</f>
        <v>Courtland Sutton</v>
      </c>
      <c r="E214" t="s">
        <v>20</v>
      </c>
      <c r="F214">
        <v>33</v>
      </c>
      <c r="G214">
        <v>68</v>
      </c>
      <c r="H214">
        <v>3.6</v>
      </c>
      <c r="I214">
        <v>1.5</v>
      </c>
      <c r="J214">
        <v>10.1</v>
      </c>
      <c r="K214">
        <v>11.3</v>
      </c>
      <c r="L214">
        <v>0</v>
      </c>
      <c r="M214">
        <v>13.2</v>
      </c>
      <c r="N214">
        <v>7.7</v>
      </c>
      <c r="O214">
        <v>3.4</v>
      </c>
      <c r="P214">
        <v>2.9</v>
      </c>
      <c r="Q214">
        <v>0</v>
      </c>
      <c r="R214">
        <v>3.4</v>
      </c>
      <c r="S214">
        <v>0</v>
      </c>
      <c r="T214">
        <v>0</v>
      </c>
      <c r="U214">
        <v>0</v>
      </c>
      <c r="V214">
        <v>8.5</v>
      </c>
      <c r="W214">
        <v>0.4</v>
      </c>
      <c r="X214">
        <v>2.2000000000000002</v>
      </c>
      <c r="Y214">
        <v>68.2</v>
      </c>
      <c r="Z214">
        <v>5</v>
      </c>
      <c r="AA214">
        <v>6</v>
      </c>
      <c r="AB214">
        <v>1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0.17647058823529413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2025</v>
      </c>
      <c r="B215" t="s">
        <v>123</v>
      </c>
      <c r="C215" t="s">
        <v>51</v>
      </c>
      <c r="D215" t="str" cm="1">
        <f t="array" ref="D215">_xlfn.XLOOKUP(1,('26 WR'!A:A=E215)*('26 WR'!B:B=F215),'26 WR'!C:C)</f>
        <v>DK Metcalf</v>
      </c>
      <c r="E215" t="s">
        <v>20</v>
      </c>
      <c r="F215">
        <v>34</v>
      </c>
      <c r="G215">
        <v>70</v>
      </c>
      <c r="H215">
        <v>9.3000000000000007</v>
      </c>
      <c r="I215">
        <v>5.2</v>
      </c>
      <c r="J215">
        <v>3.1</v>
      </c>
      <c r="K215">
        <v>7.2</v>
      </c>
      <c r="L215">
        <v>9.4</v>
      </c>
      <c r="M215">
        <v>5.5</v>
      </c>
      <c r="N215">
        <v>24.1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63.800000000000004</v>
      </c>
      <c r="Z215">
        <v>9.1</v>
      </c>
      <c r="AA215">
        <v>6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5.8823529411764705E-2</v>
      </c>
      <c r="AI215">
        <v>0.14285714285714285</v>
      </c>
      <c r="AJ215">
        <v>0.14285714285714285</v>
      </c>
      <c r="AK215">
        <v>0</v>
      </c>
      <c r="AL215">
        <v>0</v>
      </c>
    </row>
    <row r="216" spans="1:38" x14ac:dyDescent="0.25">
      <c r="A216">
        <v>2025</v>
      </c>
      <c r="B216" t="s">
        <v>124</v>
      </c>
      <c r="C216" t="s">
        <v>80</v>
      </c>
      <c r="D216" t="str" cm="1">
        <f t="array" ref="D216">_xlfn.XLOOKUP(1,('26 WR'!A:A=E216)*('26 WR'!B:B=F216),'26 WR'!C:C)</f>
        <v>Chris Godwin Jr.</v>
      </c>
      <c r="E216" t="s">
        <v>20</v>
      </c>
      <c r="F216">
        <v>35</v>
      </c>
      <c r="G216">
        <v>71</v>
      </c>
      <c r="H216">
        <v>22.6</v>
      </c>
      <c r="I216">
        <v>17.399999999999999</v>
      </c>
      <c r="J216">
        <v>4.9000000000000004</v>
      </c>
      <c r="K216">
        <v>20.100000000000001</v>
      </c>
      <c r="L216">
        <v>23.6</v>
      </c>
      <c r="M216">
        <v>5.4</v>
      </c>
      <c r="N216">
        <v>0</v>
      </c>
      <c r="O216">
        <v>4.2</v>
      </c>
      <c r="P216">
        <v>9.4</v>
      </c>
      <c r="Q216">
        <v>12.9</v>
      </c>
      <c r="R216">
        <v>20.7</v>
      </c>
      <c r="S216">
        <v>0</v>
      </c>
      <c r="T216">
        <v>11.1</v>
      </c>
      <c r="U216">
        <v>6.7</v>
      </c>
      <c r="V216">
        <v>7.3</v>
      </c>
      <c r="W216">
        <v>6.5</v>
      </c>
      <c r="X216">
        <v>11.3</v>
      </c>
      <c r="Y216">
        <v>184.10000000000002</v>
      </c>
      <c r="Z216">
        <v>11.8</v>
      </c>
      <c r="AA216">
        <v>6</v>
      </c>
      <c r="AB216">
        <v>1</v>
      </c>
      <c r="AC216">
        <v>8</v>
      </c>
      <c r="AD216">
        <v>5</v>
      </c>
      <c r="AE216">
        <v>4</v>
      </c>
      <c r="AF216">
        <v>0</v>
      </c>
      <c r="AG216">
        <v>0</v>
      </c>
      <c r="AH216">
        <v>0.47058823529411764</v>
      </c>
      <c r="AI216">
        <v>0.3125</v>
      </c>
      <c r="AJ216">
        <v>0.25</v>
      </c>
      <c r="AK216">
        <v>0</v>
      </c>
      <c r="AL216">
        <v>0</v>
      </c>
    </row>
    <row r="217" spans="1:38" x14ac:dyDescent="0.25">
      <c r="A217">
        <v>2025</v>
      </c>
      <c r="B217" t="s">
        <v>125</v>
      </c>
      <c r="C217" t="s">
        <v>85</v>
      </c>
      <c r="D217" t="str" cm="1">
        <f t="array" ref="D217">_xlfn.XLOOKUP(1,('26 WR'!A:A=E217)*('26 WR'!B:B=F217),'26 WR'!C:C)</f>
        <v>Michael Pittman Jr.</v>
      </c>
      <c r="E217" t="s">
        <v>20</v>
      </c>
      <c r="F217">
        <v>36</v>
      </c>
      <c r="G217">
        <v>72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23.2</v>
      </c>
      <c r="O217">
        <v>25.5</v>
      </c>
      <c r="P217">
        <v>18.600000000000001</v>
      </c>
      <c r="Q217">
        <v>0</v>
      </c>
      <c r="R217">
        <v>9.8000000000000007</v>
      </c>
      <c r="S217">
        <v>24.1</v>
      </c>
      <c r="T217">
        <v>29.4</v>
      </c>
      <c r="U217">
        <v>7.4</v>
      </c>
      <c r="V217">
        <v>12.1</v>
      </c>
      <c r="W217">
        <v>0</v>
      </c>
      <c r="X217">
        <v>0</v>
      </c>
      <c r="Y217">
        <v>150.10000000000002</v>
      </c>
      <c r="Z217">
        <v>18.8</v>
      </c>
      <c r="AA217">
        <v>6</v>
      </c>
      <c r="AB217">
        <v>1</v>
      </c>
      <c r="AC217">
        <v>6</v>
      </c>
      <c r="AD217">
        <v>5</v>
      </c>
      <c r="AE217">
        <v>4</v>
      </c>
      <c r="AF217">
        <v>2</v>
      </c>
      <c r="AG217">
        <v>0</v>
      </c>
      <c r="AH217">
        <v>0.35294117647058826</v>
      </c>
      <c r="AI217">
        <v>0.625</v>
      </c>
      <c r="AJ217">
        <v>0.5</v>
      </c>
      <c r="AK217">
        <v>0.25</v>
      </c>
      <c r="AL217">
        <v>0</v>
      </c>
    </row>
    <row r="218" spans="1:38" x14ac:dyDescent="0.25">
      <c r="A218">
        <v>2025</v>
      </c>
      <c r="B218" t="s">
        <v>126</v>
      </c>
      <c r="C218" t="s">
        <v>110</v>
      </c>
      <c r="D218" t="str" cm="1">
        <f t="array" ref="D218">_xlfn.XLOOKUP(1,('26 WR'!A:A=E218)*('26 WR'!B:B=F218),'26 WR'!C:C)</f>
        <v>Michael Wilson</v>
      </c>
      <c r="E218" t="s">
        <v>20</v>
      </c>
      <c r="F218">
        <v>37</v>
      </c>
      <c r="G218">
        <v>73</v>
      </c>
      <c r="H218">
        <v>15.7</v>
      </c>
      <c r="I218">
        <v>31.8</v>
      </c>
      <c r="J218">
        <v>15.2</v>
      </c>
      <c r="K218">
        <v>16.899999999999999</v>
      </c>
      <c r="L218">
        <v>0</v>
      </c>
      <c r="M218">
        <v>5.2</v>
      </c>
      <c r="N218">
        <v>5.0999999999999996</v>
      </c>
      <c r="O218">
        <v>18.399999999999999</v>
      </c>
      <c r="P218">
        <v>0</v>
      </c>
      <c r="Q218">
        <v>20.6</v>
      </c>
      <c r="R218">
        <v>6.1</v>
      </c>
      <c r="S218">
        <v>8.3000000000000007</v>
      </c>
      <c r="T218">
        <v>2.8</v>
      </c>
      <c r="U218">
        <v>0</v>
      </c>
      <c r="V218">
        <v>0</v>
      </c>
      <c r="W218">
        <v>0</v>
      </c>
      <c r="X218">
        <v>0</v>
      </c>
      <c r="Y218">
        <v>146.1</v>
      </c>
      <c r="Z218">
        <v>12.2</v>
      </c>
      <c r="AA218">
        <v>6</v>
      </c>
      <c r="AB218">
        <v>1</v>
      </c>
      <c r="AC218">
        <v>6</v>
      </c>
      <c r="AD218">
        <v>6</v>
      </c>
      <c r="AE218">
        <v>2</v>
      </c>
      <c r="AF218">
        <v>1</v>
      </c>
      <c r="AG218">
        <v>1</v>
      </c>
      <c r="AH218">
        <v>0.35294117647058826</v>
      </c>
      <c r="AI218">
        <v>0.5</v>
      </c>
      <c r="AJ218">
        <v>0.16666666666666666</v>
      </c>
      <c r="AK218">
        <v>8.3333333333333329E-2</v>
      </c>
      <c r="AL218">
        <v>8.3333333333333329E-2</v>
      </c>
    </row>
    <row r="219" spans="1:38" x14ac:dyDescent="0.25">
      <c r="A219">
        <v>2025</v>
      </c>
      <c r="B219" t="s">
        <v>131</v>
      </c>
      <c r="C219" t="s">
        <v>132</v>
      </c>
      <c r="D219" t="str" cm="1">
        <f t="array" ref="D219">_xlfn.XLOOKUP(1,('26 WR'!A:A=E219)*('26 WR'!B:B=F219),'26 WR'!C:C)</f>
        <v>Jordyn Tyson</v>
      </c>
      <c r="E219" t="s">
        <v>20</v>
      </c>
      <c r="F219">
        <v>38</v>
      </c>
      <c r="G219">
        <v>78</v>
      </c>
      <c r="H219">
        <v>11.6</v>
      </c>
      <c r="I219">
        <v>9.1</v>
      </c>
      <c r="J219">
        <v>2.7</v>
      </c>
      <c r="K219">
        <v>7.8</v>
      </c>
      <c r="L219">
        <v>3.5</v>
      </c>
      <c r="M219">
        <v>9.3000000000000007</v>
      </c>
      <c r="N219">
        <v>3.7</v>
      </c>
      <c r="O219">
        <v>0</v>
      </c>
      <c r="P219">
        <v>0</v>
      </c>
      <c r="Q219">
        <v>19.8</v>
      </c>
      <c r="R219">
        <v>5.0999999999999996</v>
      </c>
      <c r="S219">
        <v>2.9</v>
      </c>
      <c r="T219">
        <v>5.6</v>
      </c>
      <c r="U219">
        <v>16.600000000000001</v>
      </c>
      <c r="V219">
        <v>4.2</v>
      </c>
      <c r="W219">
        <v>4.2</v>
      </c>
      <c r="X219">
        <v>10.4</v>
      </c>
      <c r="Y219">
        <v>116.5</v>
      </c>
      <c r="Z219">
        <v>7.1</v>
      </c>
      <c r="AA219">
        <v>7</v>
      </c>
      <c r="AB219">
        <v>1</v>
      </c>
      <c r="AC219">
        <v>4</v>
      </c>
      <c r="AD219">
        <v>2</v>
      </c>
      <c r="AE219">
        <v>0</v>
      </c>
      <c r="AF219">
        <v>0</v>
      </c>
      <c r="AG219">
        <v>0</v>
      </c>
      <c r="AH219">
        <v>0.23529411764705882</v>
      </c>
      <c r="AI219">
        <v>0.11764705882352941</v>
      </c>
      <c r="AJ219">
        <v>0</v>
      </c>
      <c r="AK219">
        <v>0</v>
      </c>
      <c r="AL219">
        <v>0</v>
      </c>
    </row>
    <row r="220" spans="1:38" x14ac:dyDescent="0.25">
      <c r="A220">
        <v>2025</v>
      </c>
      <c r="B220" t="s">
        <v>135</v>
      </c>
      <c r="C220" t="s">
        <v>78</v>
      </c>
      <c r="D220" t="str" cm="1">
        <f t="array" ref="D220">_xlfn.XLOOKUP(1,('26 WR'!A:A=E220)*('26 WR'!B:B=F220),'26 WR'!C:C)</f>
        <v>Brian Thomas Jr.</v>
      </c>
      <c r="E220" t="s">
        <v>20</v>
      </c>
      <c r="F220">
        <v>39</v>
      </c>
      <c r="G220">
        <v>81</v>
      </c>
      <c r="H220">
        <v>11.7</v>
      </c>
      <c r="I220">
        <v>7.2</v>
      </c>
      <c r="J220">
        <v>5.3</v>
      </c>
      <c r="K220">
        <v>16.100000000000001</v>
      </c>
      <c r="L220">
        <v>24.6</v>
      </c>
      <c r="M220">
        <v>5.8</v>
      </c>
      <c r="N220">
        <v>13.9</v>
      </c>
      <c r="O220">
        <v>10.4</v>
      </c>
      <c r="P220">
        <v>12.8</v>
      </c>
      <c r="Q220">
        <v>15.6</v>
      </c>
      <c r="R220">
        <v>19.5</v>
      </c>
      <c r="S220">
        <v>4</v>
      </c>
      <c r="T220">
        <v>5.6</v>
      </c>
      <c r="U220">
        <v>0</v>
      </c>
      <c r="V220">
        <v>5.6</v>
      </c>
      <c r="W220">
        <v>22.8</v>
      </c>
      <c r="X220">
        <v>22.1</v>
      </c>
      <c r="Y220">
        <v>203</v>
      </c>
      <c r="Z220">
        <v>12.4</v>
      </c>
      <c r="AA220">
        <v>7</v>
      </c>
      <c r="AB220">
        <v>1</v>
      </c>
      <c r="AC220">
        <v>10</v>
      </c>
      <c r="AD220">
        <v>6</v>
      </c>
      <c r="AE220">
        <v>3</v>
      </c>
      <c r="AF220">
        <v>0</v>
      </c>
      <c r="AG220">
        <v>0</v>
      </c>
      <c r="AH220">
        <v>0.58823529411764708</v>
      </c>
      <c r="AI220">
        <v>0.35294117647058826</v>
      </c>
      <c r="AJ220">
        <v>0.17647058823529413</v>
      </c>
      <c r="AK220">
        <v>0</v>
      </c>
      <c r="AL220">
        <v>0</v>
      </c>
    </row>
    <row r="221" spans="1:38" x14ac:dyDescent="0.25">
      <c r="A221">
        <v>2025</v>
      </c>
      <c r="B221" t="s">
        <v>136</v>
      </c>
      <c r="C221" t="s">
        <v>96</v>
      </c>
      <c r="D221" t="str" cm="1">
        <f t="array" ref="D221">_xlfn.XLOOKUP(1,('26 WR'!A:A=E221)*('26 WR'!B:B=F221),'26 WR'!C:C)</f>
        <v>Wan'Dale Robinson</v>
      </c>
      <c r="E221" t="s">
        <v>20</v>
      </c>
      <c r="F221">
        <v>40</v>
      </c>
      <c r="G221">
        <v>82</v>
      </c>
      <c r="H221">
        <v>12.4</v>
      </c>
      <c r="I221">
        <v>11.4</v>
      </c>
      <c r="J221">
        <v>15.7</v>
      </c>
      <c r="K221">
        <v>10</v>
      </c>
      <c r="L221">
        <v>12.9</v>
      </c>
      <c r="M221">
        <v>15.8</v>
      </c>
      <c r="N221">
        <v>26.8</v>
      </c>
      <c r="O221">
        <v>14</v>
      </c>
      <c r="P221">
        <v>8.6999999999999993</v>
      </c>
      <c r="Q221">
        <v>21.4</v>
      </c>
      <c r="R221">
        <v>0</v>
      </c>
      <c r="S221">
        <v>16</v>
      </c>
      <c r="T221">
        <v>14.7</v>
      </c>
      <c r="U221">
        <v>6</v>
      </c>
      <c r="V221">
        <v>20.5</v>
      </c>
      <c r="W221">
        <v>36.799999999999997</v>
      </c>
      <c r="X221">
        <v>25.9</v>
      </c>
      <c r="Y221">
        <v>268.99999999999994</v>
      </c>
      <c r="Z221">
        <v>16.8</v>
      </c>
      <c r="AA221">
        <v>7</v>
      </c>
      <c r="AB221">
        <v>1</v>
      </c>
      <c r="AC221">
        <v>13</v>
      </c>
      <c r="AD221">
        <v>8</v>
      </c>
      <c r="AE221">
        <v>5</v>
      </c>
      <c r="AF221">
        <v>3</v>
      </c>
      <c r="AG221">
        <v>1</v>
      </c>
      <c r="AH221">
        <v>0.76470588235294112</v>
      </c>
      <c r="AI221">
        <v>0.5</v>
      </c>
      <c r="AJ221">
        <v>0.3125</v>
      </c>
      <c r="AK221">
        <v>0.1875</v>
      </c>
      <c r="AL221">
        <v>6.25E-2</v>
      </c>
    </row>
    <row r="222" spans="1:38" x14ac:dyDescent="0.25">
      <c r="A222">
        <v>2025</v>
      </c>
      <c r="B222" t="s">
        <v>139</v>
      </c>
      <c r="C222" t="s">
        <v>51</v>
      </c>
      <c r="D222" t="str" cm="1">
        <f t="array" ref="D222">_xlfn.XLOOKUP(1,('26 WR'!A:A=E222)*('26 WR'!B:B=F222),'26 WR'!C:C)</f>
        <v>Jakobi Meyers</v>
      </c>
      <c r="E222" t="s">
        <v>20</v>
      </c>
      <c r="F222">
        <v>41</v>
      </c>
      <c r="G222">
        <v>85</v>
      </c>
      <c r="H222">
        <v>17.7</v>
      </c>
      <c r="I222">
        <v>12.8</v>
      </c>
      <c r="J222">
        <v>9.3000000000000007</v>
      </c>
      <c r="K222">
        <v>7</v>
      </c>
      <c r="L222">
        <v>7.2</v>
      </c>
      <c r="M222">
        <v>7.9</v>
      </c>
      <c r="N222">
        <v>0</v>
      </c>
      <c r="O222">
        <v>0</v>
      </c>
      <c r="P222">
        <v>6.3</v>
      </c>
      <c r="Q222">
        <v>7.1</v>
      </c>
      <c r="R222">
        <v>11.4</v>
      </c>
      <c r="S222">
        <v>15</v>
      </c>
      <c r="T222">
        <v>21.3</v>
      </c>
      <c r="U222">
        <v>14.8</v>
      </c>
      <c r="V222">
        <v>12.1</v>
      </c>
      <c r="W222">
        <v>8.6</v>
      </c>
      <c r="X222">
        <v>7.9</v>
      </c>
      <c r="Y222">
        <v>166.4</v>
      </c>
      <c r="Z222">
        <v>11</v>
      </c>
      <c r="AA222">
        <v>7</v>
      </c>
      <c r="AB222">
        <v>1</v>
      </c>
      <c r="AC222">
        <v>7</v>
      </c>
      <c r="AD222">
        <v>2</v>
      </c>
      <c r="AE222">
        <v>1</v>
      </c>
      <c r="AF222">
        <v>0</v>
      </c>
      <c r="AG222">
        <v>0</v>
      </c>
      <c r="AH222">
        <v>0.41176470588235292</v>
      </c>
      <c r="AI222">
        <v>0.125</v>
      </c>
      <c r="AJ222">
        <v>6.25E-2</v>
      </c>
      <c r="AK222">
        <v>0</v>
      </c>
      <c r="AL222">
        <v>0</v>
      </c>
    </row>
    <row r="223" spans="1:38" x14ac:dyDescent="0.25">
      <c r="A223">
        <v>2025</v>
      </c>
      <c r="B223" t="s">
        <v>145</v>
      </c>
      <c r="C223" t="s">
        <v>74</v>
      </c>
      <c r="D223" t="str" cm="1">
        <f t="array" ref="D223">_xlfn.XLOOKUP(1,('26 WR'!A:A=E223)*('26 WR'!B:B=F223),'26 WR'!C:C)</f>
        <v>Makai Lemon</v>
      </c>
      <c r="E223" t="s">
        <v>20</v>
      </c>
      <c r="F223">
        <v>42</v>
      </c>
      <c r="G223">
        <v>91</v>
      </c>
      <c r="H223">
        <v>3.5</v>
      </c>
      <c r="I223">
        <v>16</v>
      </c>
      <c r="J223">
        <v>5.0999999999999996</v>
      </c>
      <c r="K223">
        <v>6.6</v>
      </c>
      <c r="L223">
        <v>11.9</v>
      </c>
      <c r="M223">
        <v>12</v>
      </c>
      <c r="N223">
        <v>3.2</v>
      </c>
      <c r="O223">
        <v>0</v>
      </c>
      <c r="P223">
        <v>0</v>
      </c>
      <c r="Q223">
        <v>9.4</v>
      </c>
      <c r="R223">
        <v>5.3</v>
      </c>
      <c r="S223">
        <v>4.4000000000000004</v>
      </c>
      <c r="T223">
        <v>5.4</v>
      </c>
      <c r="U223">
        <v>11.5</v>
      </c>
      <c r="V223">
        <v>9.6</v>
      </c>
      <c r="W223">
        <v>6.9</v>
      </c>
      <c r="X223">
        <v>1.6</v>
      </c>
      <c r="Y223">
        <v>112.4</v>
      </c>
      <c r="Z223">
        <v>7.3</v>
      </c>
      <c r="AA223">
        <v>8</v>
      </c>
      <c r="AB223">
        <v>1</v>
      </c>
      <c r="AC223">
        <v>4</v>
      </c>
      <c r="AD223">
        <v>1</v>
      </c>
      <c r="AE223">
        <v>0</v>
      </c>
      <c r="AF223">
        <v>0</v>
      </c>
      <c r="AG223">
        <v>0</v>
      </c>
      <c r="AH223">
        <v>0.23529411764705882</v>
      </c>
      <c r="AI223">
        <v>6.25E-2</v>
      </c>
      <c r="AJ223">
        <v>0</v>
      </c>
      <c r="AK223">
        <v>0</v>
      </c>
      <c r="AL223">
        <v>0</v>
      </c>
    </row>
    <row r="224" spans="1:38" x14ac:dyDescent="0.25">
      <c r="A224">
        <v>2025</v>
      </c>
      <c r="B224" t="s">
        <v>148</v>
      </c>
      <c r="C224" t="s">
        <v>68</v>
      </c>
      <c r="D224" t="str" cm="1">
        <f t="array" ref="D224">_xlfn.XLOOKUP(1,('26 WR'!A:A=E224)*('26 WR'!B:B=F224),'26 WR'!C:C)</f>
        <v>Parker Washington</v>
      </c>
      <c r="E224" t="s">
        <v>20</v>
      </c>
      <c r="F224">
        <v>43</v>
      </c>
      <c r="G224">
        <v>94</v>
      </c>
      <c r="H224">
        <v>25.2</v>
      </c>
      <c r="I224">
        <v>5.6</v>
      </c>
      <c r="J224">
        <v>5</v>
      </c>
      <c r="K224">
        <v>7.5</v>
      </c>
      <c r="L224">
        <v>10.3</v>
      </c>
      <c r="M224">
        <v>4.0999999999999996</v>
      </c>
      <c r="N224">
        <v>0</v>
      </c>
      <c r="O224">
        <v>6</v>
      </c>
      <c r="P224">
        <v>3.7</v>
      </c>
      <c r="Q224">
        <v>13.6</v>
      </c>
      <c r="R224">
        <v>0</v>
      </c>
      <c r="S224">
        <v>0</v>
      </c>
      <c r="T224">
        <v>8.9</v>
      </c>
      <c r="U224">
        <v>3.6</v>
      </c>
      <c r="V224">
        <v>0</v>
      </c>
      <c r="W224">
        <v>0</v>
      </c>
      <c r="X224">
        <v>0</v>
      </c>
      <c r="Y224">
        <v>93.499999999999986</v>
      </c>
      <c r="Z224">
        <v>7.9</v>
      </c>
      <c r="AA224">
        <v>8</v>
      </c>
      <c r="AB224">
        <v>1</v>
      </c>
      <c r="AC224">
        <v>3</v>
      </c>
      <c r="AD224">
        <v>1</v>
      </c>
      <c r="AE224">
        <v>1</v>
      </c>
      <c r="AF224">
        <v>1</v>
      </c>
      <c r="AG224">
        <v>0</v>
      </c>
      <c r="AH224">
        <v>0.17647058823529413</v>
      </c>
      <c r="AI224">
        <v>7.6923076923076927E-2</v>
      </c>
      <c r="AJ224">
        <v>7.6923076923076927E-2</v>
      </c>
      <c r="AK224">
        <v>7.6923076923076927E-2</v>
      </c>
      <c r="AL224">
        <v>0</v>
      </c>
    </row>
    <row r="225" spans="1:38" x14ac:dyDescent="0.25">
      <c r="A225">
        <v>2025</v>
      </c>
      <c r="B225" t="s">
        <v>149</v>
      </c>
      <c r="C225" t="s">
        <v>31</v>
      </c>
      <c r="D225" t="str" cm="1">
        <f t="array" ref="D225">_xlfn.XLOOKUP(1,('26 WR'!A:A=E225)*('26 WR'!B:B=F225),'26 WR'!C:C)</f>
        <v>Josh Downs</v>
      </c>
      <c r="E225" t="s">
        <v>20</v>
      </c>
      <c r="F225">
        <v>44</v>
      </c>
      <c r="G225">
        <v>95</v>
      </c>
      <c r="H225">
        <v>0</v>
      </c>
      <c r="I225">
        <v>0</v>
      </c>
      <c r="J225">
        <v>0</v>
      </c>
      <c r="K225">
        <v>15.4</v>
      </c>
      <c r="L225">
        <v>15.1</v>
      </c>
      <c r="M225">
        <v>0</v>
      </c>
      <c r="N225">
        <v>21.8</v>
      </c>
      <c r="O225">
        <v>11.6</v>
      </c>
      <c r="P225">
        <v>8.4</v>
      </c>
      <c r="Q225">
        <v>6.5</v>
      </c>
      <c r="R225">
        <v>10</v>
      </c>
      <c r="S225">
        <v>0</v>
      </c>
      <c r="T225">
        <v>8.6</v>
      </c>
      <c r="U225">
        <v>10.199999999999999</v>
      </c>
      <c r="V225">
        <v>8.6</v>
      </c>
      <c r="W225">
        <v>4.5999999999999996</v>
      </c>
      <c r="X225">
        <v>12.5</v>
      </c>
      <c r="Y225">
        <v>133.29999999999998</v>
      </c>
      <c r="Z225">
        <v>9.6999999999999993</v>
      </c>
      <c r="AA225">
        <v>8</v>
      </c>
      <c r="AB225">
        <v>1</v>
      </c>
      <c r="AC225">
        <v>6</v>
      </c>
      <c r="AD225">
        <v>3</v>
      </c>
      <c r="AE225">
        <v>1</v>
      </c>
      <c r="AF225">
        <v>0</v>
      </c>
      <c r="AG225">
        <v>0</v>
      </c>
      <c r="AH225">
        <v>0.35294117647058826</v>
      </c>
      <c r="AI225">
        <v>0.21428571428571427</v>
      </c>
      <c r="AJ225">
        <v>7.1428571428571425E-2</v>
      </c>
      <c r="AK225">
        <v>0</v>
      </c>
      <c r="AL225">
        <v>0</v>
      </c>
    </row>
    <row r="226" spans="1:38" x14ac:dyDescent="0.25">
      <c r="A226">
        <v>2025</v>
      </c>
      <c r="B226" t="s">
        <v>152</v>
      </c>
      <c r="C226" t="s">
        <v>26</v>
      </c>
      <c r="D226" t="str" cm="1">
        <f t="array" ref="D226">_xlfn.XLOOKUP(1,('26 WR'!A:A=E226)*('26 WR'!B:B=F226),'26 WR'!C:C)</f>
        <v>Ricky Pearsall</v>
      </c>
      <c r="E226" t="s">
        <v>20</v>
      </c>
      <c r="F226">
        <v>45</v>
      </c>
      <c r="G226">
        <v>98</v>
      </c>
      <c r="H226">
        <v>3.6</v>
      </c>
      <c r="I226">
        <v>19.899999999999999</v>
      </c>
      <c r="J226">
        <v>0</v>
      </c>
      <c r="K226">
        <v>6.4</v>
      </c>
      <c r="L226">
        <v>0</v>
      </c>
      <c r="M226">
        <v>1.7</v>
      </c>
      <c r="N226">
        <v>7.1</v>
      </c>
      <c r="O226">
        <v>8.5</v>
      </c>
      <c r="P226">
        <v>14.1</v>
      </c>
      <c r="Q226">
        <v>17.100000000000001</v>
      </c>
      <c r="R226">
        <v>9.4</v>
      </c>
      <c r="S226">
        <v>15.1</v>
      </c>
      <c r="T226">
        <v>13.9</v>
      </c>
      <c r="U226">
        <v>0</v>
      </c>
      <c r="V226">
        <v>18.7</v>
      </c>
      <c r="W226">
        <v>18.100000000000001</v>
      </c>
      <c r="X226">
        <v>12.2</v>
      </c>
      <c r="Y226">
        <v>165.79999999999998</v>
      </c>
      <c r="Z226">
        <v>11.6</v>
      </c>
      <c r="AA226">
        <v>8</v>
      </c>
      <c r="AB226">
        <v>1</v>
      </c>
      <c r="AC226">
        <v>8</v>
      </c>
      <c r="AD226">
        <v>5</v>
      </c>
      <c r="AE226">
        <v>0</v>
      </c>
      <c r="AF226">
        <v>0</v>
      </c>
      <c r="AG226">
        <v>0</v>
      </c>
      <c r="AH226">
        <v>0.47058823529411764</v>
      </c>
      <c r="AI226">
        <v>0.33333333333333331</v>
      </c>
      <c r="AJ226">
        <v>0</v>
      </c>
      <c r="AK226">
        <v>0</v>
      </c>
      <c r="AL226">
        <v>0</v>
      </c>
    </row>
    <row r="227" spans="1:38" x14ac:dyDescent="0.25">
      <c r="A227">
        <v>2025</v>
      </c>
      <c r="B227" t="s">
        <v>154</v>
      </c>
      <c r="C227" t="s">
        <v>68</v>
      </c>
      <c r="D227" t="str" cm="1">
        <f t="array" ref="D227">_xlfn.XLOOKUP(1,('26 WR'!A:A=E227)*('26 WR'!B:B=F227),'26 WR'!C:C)</f>
        <v>Jordan Addison</v>
      </c>
      <c r="E227" t="s">
        <v>20</v>
      </c>
      <c r="F227">
        <v>46</v>
      </c>
      <c r="G227">
        <v>100</v>
      </c>
      <c r="H227">
        <v>12.4</v>
      </c>
      <c r="I227">
        <v>2.2000000000000002</v>
      </c>
      <c r="J227">
        <v>14.5</v>
      </c>
      <c r="K227">
        <v>17.899999999999999</v>
      </c>
      <c r="L227">
        <v>11</v>
      </c>
      <c r="M227">
        <v>6.3</v>
      </c>
      <c r="N227">
        <v>0</v>
      </c>
      <c r="O227">
        <v>20.8</v>
      </c>
      <c r="P227">
        <v>11.3</v>
      </c>
      <c r="Q227">
        <v>12.8</v>
      </c>
      <c r="R227">
        <v>0.7</v>
      </c>
      <c r="S227">
        <v>17</v>
      </c>
      <c r="T227">
        <v>1.5</v>
      </c>
      <c r="U227">
        <v>9.6</v>
      </c>
      <c r="V227">
        <v>11.5</v>
      </c>
      <c r="W227">
        <v>7.4</v>
      </c>
      <c r="X227">
        <v>9.5</v>
      </c>
      <c r="Y227">
        <v>166.39999999999998</v>
      </c>
      <c r="Z227">
        <v>10.4</v>
      </c>
      <c r="AA227">
        <v>8</v>
      </c>
      <c r="AB227">
        <v>1</v>
      </c>
      <c r="AC227">
        <v>9</v>
      </c>
      <c r="AD227">
        <v>3</v>
      </c>
      <c r="AE227">
        <v>1</v>
      </c>
      <c r="AF227">
        <v>0</v>
      </c>
      <c r="AG227">
        <v>0</v>
      </c>
      <c r="AH227">
        <v>0.52941176470588236</v>
      </c>
      <c r="AI227">
        <v>0.1875</v>
      </c>
      <c r="AJ227">
        <v>6.25E-2</v>
      </c>
      <c r="AK227">
        <v>0</v>
      </c>
      <c r="AL227">
        <v>0</v>
      </c>
    </row>
    <row r="228" spans="1:38" x14ac:dyDescent="0.25">
      <c r="A228">
        <v>2025</v>
      </c>
      <c r="B228" t="s">
        <v>155</v>
      </c>
      <c r="C228" t="s">
        <v>55</v>
      </c>
      <c r="D228" t="str" cm="1">
        <f t="array" ref="D228">_xlfn.XLOOKUP(1,('26 WR'!A:A=E228)*('26 WR'!B:B=F228),'26 WR'!C:C)</f>
        <v>Quentin Johnston</v>
      </c>
      <c r="E228" t="s">
        <v>20</v>
      </c>
      <c r="F228">
        <v>47</v>
      </c>
      <c r="G228">
        <v>101</v>
      </c>
      <c r="H228">
        <v>20</v>
      </c>
      <c r="I228">
        <v>8</v>
      </c>
      <c r="J228">
        <v>19.3</v>
      </c>
      <c r="K228">
        <v>15.1</v>
      </c>
      <c r="L228">
        <v>14.9</v>
      </c>
      <c r="M228">
        <v>4</v>
      </c>
      <c r="N228">
        <v>20.8</v>
      </c>
      <c r="O228">
        <v>23.5</v>
      </c>
      <c r="P228">
        <v>20.5</v>
      </c>
      <c r="Q228">
        <v>3.9</v>
      </c>
      <c r="R228">
        <v>0</v>
      </c>
      <c r="S228">
        <v>13.7</v>
      </c>
      <c r="T228">
        <v>2.2999999999999998</v>
      </c>
      <c r="U228">
        <v>16.899999999999999</v>
      </c>
      <c r="V228">
        <v>5.6</v>
      </c>
      <c r="W228">
        <v>7.2</v>
      </c>
      <c r="X228">
        <v>3.6</v>
      </c>
      <c r="Y228">
        <v>199.29999999999998</v>
      </c>
      <c r="Z228">
        <v>11.9</v>
      </c>
      <c r="AA228">
        <v>8</v>
      </c>
      <c r="AB228">
        <v>1</v>
      </c>
      <c r="AC228">
        <v>9</v>
      </c>
      <c r="AD228">
        <v>7</v>
      </c>
      <c r="AE228">
        <v>3</v>
      </c>
      <c r="AF228">
        <v>0</v>
      </c>
      <c r="AG228">
        <v>0</v>
      </c>
      <c r="AH228">
        <v>0.52941176470588236</v>
      </c>
      <c r="AI228">
        <v>0.41176470588235292</v>
      </c>
      <c r="AJ228">
        <v>0.17647058823529413</v>
      </c>
      <c r="AK228">
        <v>0</v>
      </c>
      <c r="AL228">
        <v>0</v>
      </c>
    </row>
    <row r="229" spans="1:38" x14ac:dyDescent="0.25">
      <c r="A229">
        <v>2025</v>
      </c>
      <c r="B229" t="s">
        <v>156</v>
      </c>
      <c r="C229" t="s">
        <v>57</v>
      </c>
      <c r="D229" t="str" cm="1">
        <f t="array" ref="D229">_xlfn.XLOOKUP(1,('26 WR'!A:A=E229)*('26 WR'!B:B=F229),'26 WR'!C:C)</f>
        <v>Jayden Reed</v>
      </c>
      <c r="E229" t="s">
        <v>20</v>
      </c>
      <c r="F229">
        <v>48</v>
      </c>
      <c r="G229">
        <v>102</v>
      </c>
      <c r="H229">
        <v>0</v>
      </c>
      <c r="I229">
        <v>0</v>
      </c>
      <c r="J229">
        <v>0</v>
      </c>
      <c r="K229">
        <v>5.6</v>
      </c>
      <c r="L229">
        <v>5.6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2.9</v>
      </c>
      <c r="T229">
        <v>10.8</v>
      </c>
      <c r="U229">
        <v>10.5</v>
      </c>
      <c r="V229">
        <v>14</v>
      </c>
      <c r="W229">
        <v>8</v>
      </c>
      <c r="X229">
        <v>23.8</v>
      </c>
      <c r="Y229">
        <v>81.2</v>
      </c>
      <c r="Z229">
        <v>9.1999999999999993</v>
      </c>
      <c r="AA229">
        <v>10</v>
      </c>
      <c r="AB229">
        <v>1</v>
      </c>
      <c r="AC229">
        <v>4</v>
      </c>
      <c r="AD229">
        <v>1</v>
      </c>
      <c r="AE229">
        <v>1</v>
      </c>
      <c r="AF229">
        <v>0</v>
      </c>
      <c r="AG229">
        <v>0</v>
      </c>
      <c r="AH229">
        <v>0.23529411764705882</v>
      </c>
      <c r="AI229">
        <v>0.1111111111111111</v>
      </c>
      <c r="AJ229">
        <v>0.1111111111111111</v>
      </c>
      <c r="AK229">
        <v>0</v>
      </c>
      <c r="AL229">
        <v>0</v>
      </c>
    </row>
    <row r="230" spans="1:38" x14ac:dyDescent="0.25">
      <c r="A230">
        <v>2025</v>
      </c>
      <c r="B230" t="s">
        <v>164</v>
      </c>
      <c r="C230" t="s">
        <v>55</v>
      </c>
      <c r="D230" t="str" cm="1">
        <f t="array" ref="D230">_xlfn.XLOOKUP(1,('26 WR'!A:A=E230)*('26 WR'!B:B=F230),'26 WR'!C:C)</f>
        <v>Khalil Shakir</v>
      </c>
      <c r="E230" t="s">
        <v>20</v>
      </c>
      <c r="F230">
        <v>49</v>
      </c>
      <c r="G230">
        <v>110</v>
      </c>
      <c r="H230">
        <v>3.2</v>
      </c>
      <c r="I230">
        <v>11.1</v>
      </c>
      <c r="J230">
        <v>5.4</v>
      </c>
      <c r="K230">
        <v>6.4</v>
      </c>
      <c r="L230">
        <v>11.4</v>
      </c>
      <c r="M230">
        <v>16.2</v>
      </c>
      <c r="N230">
        <v>0</v>
      </c>
      <c r="O230">
        <v>12.9</v>
      </c>
      <c r="P230">
        <v>15.7</v>
      </c>
      <c r="Q230">
        <v>1.3</v>
      </c>
      <c r="R230">
        <v>0</v>
      </c>
      <c r="S230">
        <v>3</v>
      </c>
      <c r="T230">
        <v>6.4</v>
      </c>
      <c r="U230">
        <v>6.3</v>
      </c>
      <c r="V230">
        <v>10.3</v>
      </c>
      <c r="W230">
        <v>11.8</v>
      </c>
      <c r="X230">
        <v>5.4</v>
      </c>
      <c r="Y230">
        <v>126.80000000000001</v>
      </c>
      <c r="Z230">
        <v>8.5</v>
      </c>
      <c r="AA230">
        <v>9</v>
      </c>
      <c r="AB230">
        <v>1</v>
      </c>
      <c r="AC230">
        <v>7</v>
      </c>
      <c r="AD230">
        <v>2</v>
      </c>
      <c r="AE230">
        <v>0</v>
      </c>
      <c r="AF230">
        <v>0</v>
      </c>
      <c r="AG230">
        <v>0</v>
      </c>
      <c r="AH230">
        <v>0.41176470588235292</v>
      </c>
      <c r="AI230">
        <v>0.125</v>
      </c>
      <c r="AJ230">
        <v>0</v>
      </c>
      <c r="AK230">
        <v>0</v>
      </c>
      <c r="AL230">
        <v>0</v>
      </c>
    </row>
    <row r="231" spans="1:38" x14ac:dyDescent="0.25">
      <c r="A231">
        <v>2025</v>
      </c>
      <c r="B231" t="s">
        <v>168</v>
      </c>
      <c r="C231" t="s">
        <v>65</v>
      </c>
      <c r="D231" t="str" cm="1">
        <f t="array" ref="D231">_xlfn.XLOOKUP(1,('26 WR'!A:A=E231)*('26 WR'!B:B=F231),'26 WR'!C:C)</f>
        <v>Jayden Higgins</v>
      </c>
      <c r="E231" t="s">
        <v>20</v>
      </c>
      <c r="F231">
        <v>50</v>
      </c>
      <c r="G231">
        <v>114</v>
      </c>
      <c r="H231">
        <v>19.8</v>
      </c>
      <c r="I231">
        <v>17.100000000000001</v>
      </c>
      <c r="J231">
        <v>19.5</v>
      </c>
      <c r="K231">
        <v>8.6999999999999993</v>
      </c>
      <c r="L231">
        <v>10.8</v>
      </c>
      <c r="M231">
        <v>6.7</v>
      </c>
      <c r="N231">
        <v>28.9</v>
      </c>
      <c r="O231">
        <v>8.4</v>
      </c>
      <c r="P231">
        <v>6.1</v>
      </c>
      <c r="Q231">
        <v>3.9</v>
      </c>
      <c r="R231">
        <v>9.3000000000000007</v>
      </c>
      <c r="S231">
        <v>0</v>
      </c>
      <c r="T231">
        <v>7</v>
      </c>
      <c r="U231">
        <v>5.2</v>
      </c>
      <c r="V231">
        <v>8.6</v>
      </c>
      <c r="W231">
        <v>9.4</v>
      </c>
      <c r="X231">
        <v>2.7</v>
      </c>
      <c r="Y231">
        <v>172.1</v>
      </c>
      <c r="Z231">
        <v>10.7</v>
      </c>
      <c r="AA231">
        <v>9</v>
      </c>
      <c r="AB231">
        <v>1</v>
      </c>
      <c r="AC231">
        <v>6</v>
      </c>
      <c r="AD231">
        <v>4</v>
      </c>
      <c r="AE231">
        <v>1</v>
      </c>
      <c r="AF231">
        <v>1</v>
      </c>
      <c r="AG231">
        <v>0</v>
      </c>
      <c r="AH231">
        <v>0.35294117647058826</v>
      </c>
      <c r="AI231">
        <v>0.23529411764705882</v>
      </c>
      <c r="AJ231">
        <v>5.8823529411764705E-2</v>
      </c>
      <c r="AK231">
        <v>5.8823529411764705E-2</v>
      </c>
      <c r="AL231">
        <v>0</v>
      </c>
    </row>
    <row r="232" spans="1:38" x14ac:dyDescent="0.25">
      <c r="A232">
        <v>2025</v>
      </c>
      <c r="B232" t="s">
        <v>172</v>
      </c>
      <c r="C232" t="s">
        <v>74</v>
      </c>
      <c r="D232" t="str" cm="1">
        <f t="array" ref="D232">_xlfn.XLOOKUP(1,('26 WR'!A:A=E232)*('26 WR'!B:B=F232),'26 WR'!C:C)</f>
        <v>Xavier Worthy</v>
      </c>
      <c r="E232" t="s">
        <v>20</v>
      </c>
      <c r="F232">
        <v>51</v>
      </c>
      <c r="G232">
        <v>118</v>
      </c>
      <c r="H232">
        <v>9.3000000000000007</v>
      </c>
      <c r="I232">
        <v>15.2</v>
      </c>
      <c r="J232">
        <v>8.1999999999999993</v>
      </c>
      <c r="K232">
        <v>9.1999999999999993</v>
      </c>
      <c r="L232">
        <v>21.4</v>
      </c>
      <c r="M232">
        <v>6.8</v>
      </c>
      <c r="N232">
        <v>8</v>
      </c>
      <c r="O232">
        <v>14.5</v>
      </c>
      <c r="P232">
        <v>11.8</v>
      </c>
      <c r="Q232">
        <v>3.3</v>
      </c>
      <c r="R232">
        <v>4.9000000000000004</v>
      </c>
      <c r="S232">
        <v>0.5</v>
      </c>
      <c r="T232">
        <v>2.6</v>
      </c>
      <c r="U232">
        <v>16.7</v>
      </c>
      <c r="V232">
        <v>12.1</v>
      </c>
      <c r="W232">
        <v>9.1</v>
      </c>
      <c r="X232">
        <v>1.8</v>
      </c>
      <c r="Y232">
        <v>155.4</v>
      </c>
      <c r="Z232">
        <v>8.6999999999999993</v>
      </c>
      <c r="AA232">
        <v>10</v>
      </c>
      <c r="AB232">
        <v>1</v>
      </c>
      <c r="AC232">
        <v>6</v>
      </c>
      <c r="AD232">
        <v>3</v>
      </c>
      <c r="AE232">
        <v>1</v>
      </c>
      <c r="AF232">
        <v>0</v>
      </c>
      <c r="AG232">
        <v>0</v>
      </c>
      <c r="AH232">
        <v>0.35294117647058826</v>
      </c>
      <c r="AI232">
        <v>0.16666666666666666</v>
      </c>
      <c r="AJ232">
        <v>5.5555555555555552E-2</v>
      </c>
      <c r="AK232">
        <v>0</v>
      </c>
      <c r="AL232">
        <v>0</v>
      </c>
    </row>
    <row r="233" spans="1:38" x14ac:dyDescent="0.25">
      <c r="A233">
        <v>2025</v>
      </c>
      <c r="B233" t="s">
        <v>175</v>
      </c>
      <c r="C233" t="s">
        <v>61</v>
      </c>
      <c r="D233" t="str" cm="1">
        <f t="array" ref="D233">_xlfn.XLOOKUP(1,('26 WR'!A:A=E233)*('26 WR'!B:B=F233),'26 WR'!C:C)</f>
        <v>KC Concepcion</v>
      </c>
      <c r="E233" t="s">
        <v>20</v>
      </c>
      <c r="F233">
        <v>52</v>
      </c>
      <c r="G233">
        <v>121</v>
      </c>
      <c r="H233">
        <v>13.5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9.3000000000000007</v>
      </c>
      <c r="V233">
        <v>10.5</v>
      </c>
      <c r="W233">
        <v>7.1</v>
      </c>
      <c r="X233">
        <v>8.1</v>
      </c>
      <c r="Y233">
        <v>48.5</v>
      </c>
      <c r="Z233">
        <v>6.9</v>
      </c>
      <c r="AA233">
        <v>20</v>
      </c>
      <c r="AB233">
        <v>1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0.11764705882352941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2025</v>
      </c>
      <c r="B234" t="s">
        <v>177</v>
      </c>
      <c r="C234" t="s">
        <v>39</v>
      </c>
      <c r="D234" t="str" cm="1">
        <f t="array" ref="D234">_xlfn.XLOOKUP(1,('26 WR'!A:A=E234)*('26 WR'!B:B=F234),'26 WR'!C:C)</f>
        <v>Romeo Doubs</v>
      </c>
      <c r="E234" t="s">
        <v>20</v>
      </c>
      <c r="F234">
        <v>53</v>
      </c>
      <c r="G234">
        <v>123</v>
      </c>
      <c r="H234">
        <v>0</v>
      </c>
      <c r="I234">
        <v>0</v>
      </c>
      <c r="J234">
        <v>5.5</v>
      </c>
      <c r="K234">
        <v>5</v>
      </c>
      <c r="L234">
        <v>10.4</v>
      </c>
      <c r="M234">
        <v>0</v>
      </c>
      <c r="N234">
        <v>0</v>
      </c>
      <c r="O234">
        <v>0</v>
      </c>
      <c r="P234">
        <v>6.6</v>
      </c>
      <c r="Q234">
        <v>1.3</v>
      </c>
      <c r="R234">
        <v>1.6</v>
      </c>
      <c r="S234">
        <v>16.399999999999999</v>
      </c>
      <c r="T234">
        <v>0</v>
      </c>
      <c r="U234">
        <v>1.6</v>
      </c>
      <c r="V234">
        <v>0</v>
      </c>
      <c r="W234">
        <v>6.7</v>
      </c>
      <c r="X234">
        <v>2.1</v>
      </c>
      <c r="Y234">
        <v>57.2</v>
      </c>
      <c r="Z234">
        <v>4.5</v>
      </c>
      <c r="AA234">
        <v>10</v>
      </c>
      <c r="AB234">
        <v>1</v>
      </c>
      <c r="AC234">
        <v>2</v>
      </c>
      <c r="AD234">
        <v>1</v>
      </c>
      <c r="AE234">
        <v>0</v>
      </c>
      <c r="AF234">
        <v>0</v>
      </c>
      <c r="AG234">
        <v>0</v>
      </c>
      <c r="AH234">
        <v>0.11764705882352941</v>
      </c>
      <c r="AI234">
        <v>7.6923076923076927E-2</v>
      </c>
      <c r="AJ234">
        <v>0</v>
      </c>
      <c r="AK234">
        <v>0</v>
      </c>
      <c r="AL234">
        <v>0</v>
      </c>
    </row>
    <row r="235" spans="1:38" x14ac:dyDescent="0.25">
      <c r="A235">
        <v>2025</v>
      </c>
      <c r="B235" t="s">
        <v>178</v>
      </c>
      <c r="C235" t="s">
        <v>39</v>
      </c>
      <c r="D235" t="str" cm="1">
        <f t="array" ref="D235">_xlfn.XLOOKUP(1,('26 WR'!A:A=E235)*('26 WR'!B:B=F235),'26 WR'!C:C)</f>
        <v>Jalen Coker</v>
      </c>
      <c r="E235" t="s">
        <v>20</v>
      </c>
      <c r="F235">
        <v>54</v>
      </c>
      <c r="G235">
        <v>124</v>
      </c>
      <c r="H235">
        <v>5.2</v>
      </c>
      <c r="I235">
        <v>3.8</v>
      </c>
      <c r="J235">
        <v>1.5</v>
      </c>
      <c r="K235">
        <v>9.4</v>
      </c>
      <c r="L235">
        <v>7.2</v>
      </c>
      <c r="M235">
        <v>0</v>
      </c>
      <c r="N235">
        <v>0</v>
      </c>
      <c r="O235">
        <v>13.4</v>
      </c>
      <c r="P235">
        <v>1.4</v>
      </c>
      <c r="Q235">
        <v>15.2</v>
      </c>
      <c r="R235">
        <v>9.5</v>
      </c>
      <c r="S235">
        <v>13.8</v>
      </c>
      <c r="T235">
        <v>11.5</v>
      </c>
      <c r="U235">
        <v>6.4</v>
      </c>
      <c r="V235">
        <v>1.4</v>
      </c>
      <c r="W235">
        <v>2.7</v>
      </c>
      <c r="X235">
        <v>16.8</v>
      </c>
      <c r="Y235">
        <v>119.2</v>
      </c>
      <c r="Z235">
        <v>7.6</v>
      </c>
      <c r="AA235">
        <v>10</v>
      </c>
      <c r="AB235">
        <v>1</v>
      </c>
      <c r="AC235">
        <v>6</v>
      </c>
      <c r="AD235">
        <v>2</v>
      </c>
      <c r="AE235">
        <v>0</v>
      </c>
      <c r="AF235">
        <v>0</v>
      </c>
      <c r="AG235">
        <v>0</v>
      </c>
      <c r="AH235">
        <v>0.35294117647058826</v>
      </c>
      <c r="AI235">
        <v>0.11764705882352941</v>
      </c>
      <c r="AJ235">
        <v>0</v>
      </c>
      <c r="AK235">
        <v>0</v>
      </c>
      <c r="AL235">
        <v>0</v>
      </c>
    </row>
    <row r="236" spans="1:38" x14ac:dyDescent="0.25">
      <c r="A236">
        <v>2025</v>
      </c>
      <c r="B236" t="s">
        <v>184</v>
      </c>
      <c r="C236" t="s">
        <v>78</v>
      </c>
      <c r="D236" t="str" cm="1">
        <f t="array" ref="D236">_xlfn.XLOOKUP(1,('26 WR'!A:A=E236)*('26 WR'!B:B=F236),'26 WR'!C:C)</f>
        <v>Matthew Golden</v>
      </c>
      <c r="E236" t="s">
        <v>20</v>
      </c>
      <c r="F236">
        <v>55</v>
      </c>
      <c r="G236">
        <v>130</v>
      </c>
      <c r="H236">
        <v>8.1999999999999993</v>
      </c>
      <c r="I236">
        <v>1.8</v>
      </c>
      <c r="J236">
        <v>2.7</v>
      </c>
      <c r="K236">
        <v>0</v>
      </c>
      <c r="L236">
        <v>3.7</v>
      </c>
      <c r="M236">
        <v>16.100000000000001</v>
      </c>
      <c r="N236">
        <v>4.7</v>
      </c>
      <c r="O236">
        <v>5.7</v>
      </c>
      <c r="P236">
        <v>20</v>
      </c>
      <c r="Q236">
        <v>5.4</v>
      </c>
      <c r="R236">
        <v>6.1</v>
      </c>
      <c r="S236">
        <v>6.1</v>
      </c>
      <c r="T236">
        <v>6.3</v>
      </c>
      <c r="U236">
        <v>0</v>
      </c>
      <c r="V236">
        <v>0.5</v>
      </c>
      <c r="W236">
        <v>1.6</v>
      </c>
      <c r="X236">
        <v>2</v>
      </c>
      <c r="Y236">
        <v>90.899999999999991</v>
      </c>
      <c r="Z236">
        <v>5.6</v>
      </c>
      <c r="AA236">
        <v>13</v>
      </c>
      <c r="AB236">
        <v>1</v>
      </c>
      <c r="AC236">
        <v>2</v>
      </c>
      <c r="AD236">
        <v>2</v>
      </c>
      <c r="AE236">
        <v>0</v>
      </c>
      <c r="AF236">
        <v>0</v>
      </c>
      <c r="AG236">
        <v>0</v>
      </c>
      <c r="AH236">
        <v>0.11764705882352941</v>
      </c>
      <c r="AI236">
        <v>0.11764705882352941</v>
      </c>
      <c r="AJ236">
        <v>0</v>
      </c>
      <c r="AK236">
        <v>0</v>
      </c>
      <c r="AL236">
        <v>0</v>
      </c>
    </row>
    <row r="237" spans="1:38" x14ac:dyDescent="0.25">
      <c r="A237">
        <v>2025</v>
      </c>
      <c r="B237" t="s">
        <v>187</v>
      </c>
      <c r="C237" t="s">
        <v>98</v>
      </c>
      <c r="D237" t="str" cm="1">
        <f t="array" ref="D237">_xlfn.XLOOKUP(1,('26 WR'!A:A=E237)*('26 WR'!B:B=F237),'26 WR'!C:C)</f>
        <v>Jauan Jennings</v>
      </c>
      <c r="E237" t="s">
        <v>20</v>
      </c>
      <c r="F237">
        <v>56</v>
      </c>
      <c r="G237">
        <v>133</v>
      </c>
      <c r="H237">
        <v>2.2000000000000002</v>
      </c>
      <c r="I237">
        <v>10.4</v>
      </c>
      <c r="J237">
        <v>1.4</v>
      </c>
      <c r="K237">
        <v>20.5</v>
      </c>
      <c r="L237">
        <v>3.9</v>
      </c>
      <c r="M237">
        <v>4.8</v>
      </c>
      <c r="N237">
        <v>15.8</v>
      </c>
      <c r="O237">
        <v>1.8</v>
      </c>
      <c r="P237">
        <v>0</v>
      </c>
      <c r="Q237">
        <v>0</v>
      </c>
      <c r="R237">
        <v>0.2</v>
      </c>
      <c r="S237">
        <v>0</v>
      </c>
      <c r="T237">
        <v>3.7</v>
      </c>
      <c r="U237">
        <v>7.7</v>
      </c>
      <c r="V237">
        <v>7.7</v>
      </c>
      <c r="W237">
        <v>5.9</v>
      </c>
      <c r="X237">
        <v>4</v>
      </c>
      <c r="Y237">
        <v>90.000000000000014</v>
      </c>
      <c r="Z237">
        <v>5.8</v>
      </c>
      <c r="AA237">
        <v>11</v>
      </c>
      <c r="AB237">
        <v>1</v>
      </c>
      <c r="AC237">
        <v>3</v>
      </c>
      <c r="AD237">
        <v>2</v>
      </c>
      <c r="AE237">
        <v>1</v>
      </c>
      <c r="AF237">
        <v>0</v>
      </c>
      <c r="AG237">
        <v>0</v>
      </c>
      <c r="AH237">
        <v>0.17647058823529413</v>
      </c>
      <c r="AI237">
        <v>0.125</v>
      </c>
      <c r="AJ237">
        <v>6.25E-2</v>
      </c>
      <c r="AK237">
        <v>0</v>
      </c>
      <c r="AL237">
        <v>0</v>
      </c>
    </row>
    <row r="238" spans="1:38" x14ac:dyDescent="0.25">
      <c r="A238">
        <v>2025</v>
      </c>
      <c r="B238" t="s">
        <v>190</v>
      </c>
      <c r="C238" t="s">
        <v>68</v>
      </c>
      <c r="D238" t="str" cm="1">
        <f t="array" ref="D238">_xlfn.XLOOKUP(1,('26 WR'!A:A=E238)*('26 WR'!B:B=F238),'26 WR'!C:C)</f>
        <v>Rashid Shaheed</v>
      </c>
      <c r="E238" t="s">
        <v>20</v>
      </c>
      <c r="F238">
        <v>57</v>
      </c>
      <c r="G238">
        <v>136</v>
      </c>
      <c r="H238">
        <v>11.1</v>
      </c>
      <c r="I238">
        <v>6.7</v>
      </c>
      <c r="J238">
        <v>1.5</v>
      </c>
      <c r="K238">
        <v>4.5</v>
      </c>
      <c r="L238">
        <v>5.6</v>
      </c>
      <c r="M238">
        <v>8</v>
      </c>
      <c r="N238">
        <v>0</v>
      </c>
      <c r="O238">
        <v>0</v>
      </c>
      <c r="P238">
        <v>0</v>
      </c>
      <c r="Q238">
        <v>0</v>
      </c>
      <c r="R238">
        <v>3.7</v>
      </c>
      <c r="S238">
        <v>4.0999999999999996</v>
      </c>
      <c r="T238">
        <v>0</v>
      </c>
      <c r="U238">
        <v>0</v>
      </c>
      <c r="V238">
        <v>2.6</v>
      </c>
      <c r="W238">
        <v>1.2</v>
      </c>
      <c r="X238">
        <v>2.2000000000000002</v>
      </c>
      <c r="Y238">
        <v>51.20000000000001</v>
      </c>
      <c r="Z238">
        <v>4.4000000000000004</v>
      </c>
      <c r="AA238">
        <v>13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5.8823529411764705E-2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2025</v>
      </c>
      <c r="B239" t="s">
        <v>192</v>
      </c>
      <c r="C239" t="s">
        <v>61</v>
      </c>
      <c r="D239" t="str" cm="1">
        <f t="array" ref="D239">_xlfn.XLOOKUP(1,('26 WR'!A:A=E239)*('26 WR'!B:B=F239),'26 WR'!C:C)</f>
        <v>Jerry Jeudy</v>
      </c>
      <c r="E239" t="s">
        <v>20</v>
      </c>
      <c r="F239">
        <v>58</v>
      </c>
      <c r="G239">
        <v>138</v>
      </c>
      <c r="H239">
        <v>8.8000000000000007</v>
      </c>
      <c r="I239">
        <v>11.8</v>
      </c>
      <c r="J239">
        <v>4.5</v>
      </c>
      <c r="K239">
        <v>29.8</v>
      </c>
      <c r="L239">
        <v>0</v>
      </c>
      <c r="M239">
        <v>10.5</v>
      </c>
      <c r="N239">
        <v>13.2</v>
      </c>
      <c r="O239">
        <v>9.4</v>
      </c>
      <c r="P239">
        <v>16.100000000000001</v>
      </c>
      <c r="Q239">
        <v>1.5</v>
      </c>
      <c r="R239">
        <v>9.3000000000000007</v>
      </c>
      <c r="S239">
        <v>4.3</v>
      </c>
      <c r="T239">
        <v>12</v>
      </c>
      <c r="U239">
        <v>0</v>
      </c>
      <c r="V239">
        <v>5.6</v>
      </c>
      <c r="W239">
        <v>19.399999999999999</v>
      </c>
      <c r="X239">
        <v>9.1999999999999993</v>
      </c>
      <c r="Y239">
        <v>165.4</v>
      </c>
      <c r="Z239">
        <v>10.3</v>
      </c>
      <c r="AA239">
        <v>13</v>
      </c>
      <c r="AB239">
        <v>1</v>
      </c>
      <c r="AC239">
        <v>7</v>
      </c>
      <c r="AD239">
        <v>3</v>
      </c>
      <c r="AE239">
        <v>1</v>
      </c>
      <c r="AF239">
        <v>1</v>
      </c>
      <c r="AG239">
        <v>0</v>
      </c>
      <c r="AH239">
        <v>0.41176470588235292</v>
      </c>
      <c r="AI239">
        <v>0.1875</v>
      </c>
      <c r="AJ239">
        <v>6.25E-2</v>
      </c>
      <c r="AK239">
        <v>6.25E-2</v>
      </c>
      <c r="AL239">
        <v>0</v>
      </c>
    </row>
    <row r="240" spans="1:38" x14ac:dyDescent="0.25">
      <c r="A240">
        <v>2025</v>
      </c>
      <c r="B240" t="s">
        <v>194</v>
      </c>
      <c r="C240" t="s">
        <v>132</v>
      </c>
      <c r="D240" t="str" cm="1">
        <f t="array" ref="D240">_xlfn.XLOOKUP(1,('26 WR'!A:A=E240)*('26 WR'!B:B=F240),'26 WR'!C:C)</f>
        <v>Omar Cooper Jr.</v>
      </c>
      <c r="E240" t="s">
        <v>20</v>
      </c>
      <c r="F240">
        <v>59</v>
      </c>
      <c r="G240">
        <v>140</v>
      </c>
      <c r="H240">
        <v>16.2</v>
      </c>
      <c r="I240">
        <v>10.199999999999999</v>
      </c>
      <c r="J240">
        <v>5.6</v>
      </c>
      <c r="K240">
        <v>1.6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3.1</v>
      </c>
      <c r="R240">
        <v>8.1999999999999993</v>
      </c>
      <c r="S240">
        <v>1.5</v>
      </c>
      <c r="T240">
        <v>0</v>
      </c>
      <c r="U240">
        <v>3.3</v>
      </c>
      <c r="V240">
        <v>0</v>
      </c>
      <c r="W240">
        <v>1.8</v>
      </c>
      <c r="X240">
        <v>5.2</v>
      </c>
      <c r="Y240">
        <v>56.7</v>
      </c>
      <c r="Z240">
        <v>4.5999999999999996</v>
      </c>
      <c r="AA240">
        <v>13</v>
      </c>
      <c r="AB240">
        <v>1</v>
      </c>
      <c r="AC240">
        <v>2</v>
      </c>
      <c r="AD240">
        <v>1</v>
      </c>
      <c r="AE240">
        <v>0</v>
      </c>
      <c r="AF240">
        <v>0</v>
      </c>
      <c r="AG240">
        <v>0</v>
      </c>
      <c r="AH240">
        <v>0.11764705882352941</v>
      </c>
      <c r="AI240">
        <v>7.6923076923076927E-2</v>
      </c>
      <c r="AJ240">
        <v>0</v>
      </c>
      <c r="AK240">
        <v>0</v>
      </c>
      <c r="AL240">
        <v>0</v>
      </c>
    </row>
    <row r="241" spans="1:38" x14ac:dyDescent="0.25">
      <c r="A241">
        <v>2025</v>
      </c>
      <c r="B241" t="s">
        <v>197</v>
      </c>
      <c r="C241" t="s">
        <v>92</v>
      </c>
      <c r="D241" t="str" cm="1">
        <f t="array" ref="D241">_xlfn.XLOOKUP(1,('26 WR'!A:A=E241)*('26 WR'!B:B=F241),'26 WR'!C:C)</f>
        <v>Denzel Boston</v>
      </c>
      <c r="E241" t="s">
        <v>20</v>
      </c>
      <c r="F241">
        <v>60</v>
      </c>
      <c r="G241">
        <v>143</v>
      </c>
      <c r="H241">
        <v>4</v>
      </c>
      <c r="I241">
        <v>0.8</v>
      </c>
      <c r="J241">
        <v>0</v>
      </c>
      <c r="K241">
        <v>0</v>
      </c>
      <c r="L241">
        <v>11.1</v>
      </c>
      <c r="M241">
        <v>3.1</v>
      </c>
      <c r="N241">
        <v>24.2</v>
      </c>
      <c r="O241">
        <v>3.7</v>
      </c>
      <c r="P241">
        <v>3.2</v>
      </c>
      <c r="Q241">
        <v>0</v>
      </c>
      <c r="R241">
        <v>18.3</v>
      </c>
      <c r="S241">
        <v>5.2</v>
      </c>
      <c r="T241">
        <v>1.1000000000000001</v>
      </c>
      <c r="U241">
        <v>0</v>
      </c>
      <c r="V241">
        <v>5.9</v>
      </c>
      <c r="W241">
        <v>2.2000000000000002</v>
      </c>
      <c r="X241">
        <v>1.3</v>
      </c>
      <c r="Y241">
        <v>84.100000000000009</v>
      </c>
      <c r="Z241">
        <v>6</v>
      </c>
      <c r="AA241">
        <v>14</v>
      </c>
      <c r="AB241">
        <v>1</v>
      </c>
      <c r="AC241">
        <v>3</v>
      </c>
      <c r="AD241">
        <v>2</v>
      </c>
      <c r="AE241">
        <v>1</v>
      </c>
      <c r="AF241">
        <v>0</v>
      </c>
      <c r="AG241">
        <v>0</v>
      </c>
      <c r="AH241">
        <v>0.17647058823529413</v>
      </c>
      <c r="AI241">
        <v>0.13333333333333333</v>
      </c>
      <c r="AJ241">
        <v>6.6666666666666666E-2</v>
      </c>
      <c r="AK241">
        <v>0</v>
      </c>
      <c r="AL241">
        <v>0</v>
      </c>
    </row>
    <row r="242" spans="1:38" x14ac:dyDescent="0.25">
      <c r="A242">
        <v>2025</v>
      </c>
      <c r="B242" t="s">
        <v>201</v>
      </c>
      <c r="C242" t="s">
        <v>37</v>
      </c>
      <c r="D242" t="str" cm="1">
        <f t="array" ref="D242">_xlfn.XLOOKUP(1,('26 WR'!A:A=E242)*('26 WR'!B:B=F242),'26 WR'!C:C)</f>
        <v>Travis Hunter</v>
      </c>
      <c r="E242" t="s">
        <v>20</v>
      </c>
      <c r="F242">
        <v>61</v>
      </c>
      <c r="G242">
        <v>147</v>
      </c>
      <c r="H242">
        <v>8.3000000000000007</v>
      </c>
      <c r="I242">
        <v>3.9</v>
      </c>
      <c r="J242">
        <v>0</v>
      </c>
      <c r="K242">
        <v>0</v>
      </c>
      <c r="L242">
        <v>8.1999999999999993</v>
      </c>
      <c r="M242">
        <v>0</v>
      </c>
      <c r="N242">
        <v>0</v>
      </c>
      <c r="O242">
        <v>0</v>
      </c>
      <c r="P242">
        <v>0</v>
      </c>
      <c r="Q242">
        <v>2.1</v>
      </c>
      <c r="R242">
        <v>0</v>
      </c>
      <c r="S242">
        <v>0</v>
      </c>
      <c r="T242">
        <v>11.5</v>
      </c>
      <c r="U242">
        <v>10</v>
      </c>
      <c r="V242">
        <v>0</v>
      </c>
      <c r="W242">
        <v>15.2</v>
      </c>
      <c r="X242">
        <v>13.9</v>
      </c>
      <c r="Y242">
        <v>73.100000000000009</v>
      </c>
      <c r="Z242">
        <v>4.5</v>
      </c>
      <c r="AA242">
        <v>14</v>
      </c>
      <c r="AB242">
        <v>1</v>
      </c>
      <c r="AC242">
        <v>3</v>
      </c>
      <c r="AD242">
        <v>1</v>
      </c>
      <c r="AE242">
        <v>0</v>
      </c>
      <c r="AF242">
        <v>0</v>
      </c>
      <c r="AG242">
        <v>0</v>
      </c>
      <c r="AH242">
        <v>0.17647058823529413</v>
      </c>
      <c r="AI242">
        <v>5.8823529411764705E-2</v>
      </c>
      <c r="AJ242">
        <v>0</v>
      </c>
      <c r="AK242">
        <v>0</v>
      </c>
      <c r="AL242">
        <v>0</v>
      </c>
    </row>
    <row r="243" spans="1:38" x14ac:dyDescent="0.25">
      <c r="A243">
        <v>2025</v>
      </c>
      <c r="B243" t="s">
        <v>204</v>
      </c>
      <c r="C243" t="s">
        <v>85</v>
      </c>
      <c r="D243" t="str" cm="1">
        <f t="array" ref="D243">_xlfn.XLOOKUP(1,('26 WR'!A:A=E243)*('26 WR'!B:B=F243),'26 WR'!C:C)</f>
        <v>Jalen McMillan</v>
      </c>
      <c r="E243" t="s">
        <v>20</v>
      </c>
      <c r="F243">
        <v>62</v>
      </c>
      <c r="G243">
        <v>150</v>
      </c>
      <c r="H243">
        <v>19.899999999999999</v>
      </c>
      <c r="I243">
        <v>8</v>
      </c>
      <c r="J243">
        <v>8.1999999999999993</v>
      </c>
      <c r="K243">
        <v>12.8</v>
      </c>
      <c r="L243">
        <v>8.8000000000000007</v>
      </c>
      <c r="M243">
        <v>20.5</v>
      </c>
      <c r="N243">
        <v>9.4</v>
      </c>
      <c r="O243">
        <v>0</v>
      </c>
      <c r="P243">
        <v>9.3000000000000007</v>
      </c>
      <c r="Q243">
        <v>0</v>
      </c>
      <c r="R243">
        <v>8</v>
      </c>
      <c r="S243">
        <v>2</v>
      </c>
      <c r="T243">
        <v>10</v>
      </c>
      <c r="U243">
        <v>4.5</v>
      </c>
      <c r="V243">
        <v>0</v>
      </c>
      <c r="W243">
        <v>5.2</v>
      </c>
      <c r="X243">
        <v>1.7</v>
      </c>
      <c r="Y243">
        <v>128.29999999999998</v>
      </c>
      <c r="Z243">
        <v>8.6</v>
      </c>
      <c r="AA243">
        <v>14</v>
      </c>
      <c r="AB243">
        <v>1</v>
      </c>
      <c r="AC243">
        <v>3</v>
      </c>
      <c r="AD243">
        <v>2</v>
      </c>
      <c r="AE243">
        <v>1</v>
      </c>
      <c r="AF243">
        <v>0</v>
      </c>
      <c r="AG243">
        <v>0</v>
      </c>
      <c r="AH243">
        <v>0.17647058823529413</v>
      </c>
      <c r="AI243">
        <v>0.125</v>
      </c>
      <c r="AJ243">
        <v>6.25E-2</v>
      </c>
      <c r="AK243">
        <v>0</v>
      </c>
      <c r="AL243">
        <v>0</v>
      </c>
    </row>
    <row r="244" spans="1:38" x14ac:dyDescent="0.25">
      <c r="A244">
        <v>2025</v>
      </c>
      <c r="B244" t="s">
        <v>206</v>
      </c>
      <c r="C244" t="s">
        <v>41</v>
      </c>
      <c r="D244" t="str" cm="1">
        <f t="array" ref="D244">_xlfn.XLOOKUP(1,('26 WR'!A:A=E244)*('26 WR'!B:B=F244),'26 WR'!C:C)</f>
        <v>Adonai Mitchell</v>
      </c>
      <c r="E244" t="s">
        <v>20</v>
      </c>
      <c r="F244">
        <v>63</v>
      </c>
      <c r="G244">
        <v>152</v>
      </c>
      <c r="H244">
        <v>3</v>
      </c>
      <c r="I244">
        <v>3.5</v>
      </c>
      <c r="J244">
        <v>17.3</v>
      </c>
      <c r="K244">
        <v>3.4</v>
      </c>
      <c r="L244">
        <v>0</v>
      </c>
      <c r="M244">
        <v>1.8</v>
      </c>
      <c r="N244">
        <v>0</v>
      </c>
      <c r="O244">
        <v>7.1</v>
      </c>
      <c r="P244">
        <v>9.3000000000000007</v>
      </c>
      <c r="Q244">
        <v>4</v>
      </c>
      <c r="R244">
        <v>0</v>
      </c>
      <c r="S244">
        <v>0</v>
      </c>
      <c r="T244">
        <v>0</v>
      </c>
      <c r="U244">
        <v>4.3</v>
      </c>
      <c r="V244">
        <v>0</v>
      </c>
      <c r="W244">
        <v>0</v>
      </c>
      <c r="X244">
        <v>1.7</v>
      </c>
      <c r="Y244">
        <v>55.400000000000006</v>
      </c>
      <c r="Z244">
        <v>4.3</v>
      </c>
      <c r="AA244">
        <v>11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5.8823529411764705E-2</v>
      </c>
      <c r="AI244">
        <v>7.6923076923076927E-2</v>
      </c>
      <c r="AJ244">
        <v>0</v>
      </c>
      <c r="AK244">
        <v>0</v>
      </c>
      <c r="AL244">
        <v>0</v>
      </c>
    </row>
    <row r="245" spans="1:38" x14ac:dyDescent="0.25">
      <c r="A245">
        <v>2025</v>
      </c>
      <c r="B245" t="s">
        <v>209</v>
      </c>
      <c r="C245" t="s">
        <v>43</v>
      </c>
      <c r="D245" t="str" cm="1">
        <f t="array" ref="D245">_xlfn.XLOOKUP(1,('26 WR'!A:A=E245)*('26 WR'!B:B=F245),'26 WR'!C:C)</f>
        <v>Tre' Harris</v>
      </c>
      <c r="E245" t="s">
        <v>20</v>
      </c>
      <c r="F245">
        <v>64</v>
      </c>
      <c r="G245">
        <v>155</v>
      </c>
      <c r="H245">
        <v>11.5</v>
      </c>
      <c r="I245">
        <v>28.2</v>
      </c>
      <c r="J245">
        <v>3.6</v>
      </c>
      <c r="K245">
        <v>4.4000000000000004</v>
      </c>
      <c r="L245">
        <v>8.1999999999999993</v>
      </c>
      <c r="M245">
        <v>20.399999999999999</v>
      </c>
      <c r="N245">
        <v>15.5</v>
      </c>
      <c r="O245">
        <v>7.8</v>
      </c>
      <c r="P245">
        <v>13.6</v>
      </c>
      <c r="Q245">
        <v>12.2</v>
      </c>
      <c r="R245">
        <v>7.6</v>
      </c>
      <c r="S245">
        <v>30.6</v>
      </c>
      <c r="T245">
        <v>10.4</v>
      </c>
      <c r="U245">
        <v>0</v>
      </c>
      <c r="V245">
        <v>16.399999999999999</v>
      </c>
      <c r="W245">
        <v>5.2</v>
      </c>
      <c r="X245">
        <v>22.3</v>
      </c>
      <c r="Y245">
        <v>217.9</v>
      </c>
      <c r="Z245">
        <v>13.6</v>
      </c>
      <c r="AA245">
        <v>15</v>
      </c>
      <c r="AB245">
        <v>1</v>
      </c>
      <c r="AC245">
        <v>10</v>
      </c>
      <c r="AD245">
        <v>6</v>
      </c>
      <c r="AE245">
        <v>4</v>
      </c>
      <c r="AF245">
        <v>2</v>
      </c>
      <c r="AG245">
        <v>1</v>
      </c>
      <c r="AH245">
        <v>0.58823529411764708</v>
      </c>
      <c r="AI245">
        <v>0.375</v>
      </c>
      <c r="AJ245">
        <v>0.25</v>
      </c>
      <c r="AK245">
        <v>0.125</v>
      </c>
      <c r="AL245">
        <v>6.25E-2</v>
      </c>
    </row>
    <row r="246" spans="1:38" x14ac:dyDescent="0.25">
      <c r="A246">
        <v>2025</v>
      </c>
      <c r="B246" t="s">
        <v>210</v>
      </c>
      <c r="C246" t="s">
        <v>65</v>
      </c>
      <c r="D246" t="str" cm="1">
        <f t="array" ref="D246">_xlfn.XLOOKUP(1,('26 WR'!A:A=E246)*('26 WR'!B:B=F246),'26 WR'!C:C)</f>
        <v>Tre Tucker</v>
      </c>
      <c r="E246" t="s">
        <v>20</v>
      </c>
      <c r="F246">
        <v>65</v>
      </c>
      <c r="G246">
        <v>156</v>
      </c>
      <c r="H246">
        <v>2.1</v>
      </c>
      <c r="I246">
        <v>5.4</v>
      </c>
      <c r="J246">
        <v>0</v>
      </c>
      <c r="K246">
        <v>0</v>
      </c>
      <c r="L246">
        <v>0</v>
      </c>
      <c r="M246">
        <v>6.7</v>
      </c>
      <c r="N246">
        <v>4.3</v>
      </c>
      <c r="O246">
        <v>8.8000000000000007</v>
      </c>
      <c r="P246">
        <v>3.8</v>
      </c>
      <c r="Q246">
        <v>2.4</v>
      </c>
      <c r="R246">
        <v>2.2000000000000002</v>
      </c>
      <c r="S246">
        <v>0</v>
      </c>
      <c r="T246">
        <v>6</v>
      </c>
      <c r="U246">
        <v>3.1</v>
      </c>
      <c r="V246">
        <v>7.9</v>
      </c>
      <c r="W246">
        <v>9.4</v>
      </c>
      <c r="X246">
        <v>2.5</v>
      </c>
      <c r="Y246">
        <v>64.599999999999994</v>
      </c>
      <c r="Z246">
        <v>4.0999999999999996</v>
      </c>
      <c r="AA246">
        <v>15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2025</v>
      </c>
      <c r="B247" t="s">
        <v>215</v>
      </c>
      <c r="C247" t="s">
        <v>78</v>
      </c>
      <c r="D247" t="str" cm="1">
        <f t="array" ref="D247">_xlfn.XLOOKUP(1,('26 WR'!A:A=E247)*('26 WR'!B:B=F247),'26 WR'!C:C)</f>
        <v>Troy Franklin</v>
      </c>
      <c r="E247" t="s">
        <v>20</v>
      </c>
      <c r="F247">
        <v>66</v>
      </c>
      <c r="G247">
        <v>161</v>
      </c>
      <c r="H247">
        <v>2.2000000000000002</v>
      </c>
      <c r="I247">
        <v>0</v>
      </c>
      <c r="J247">
        <v>1.8</v>
      </c>
      <c r="K247">
        <v>0.2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14.2</v>
      </c>
      <c r="R247">
        <v>0</v>
      </c>
      <c r="S247">
        <v>2.8</v>
      </c>
      <c r="T247">
        <v>10.3</v>
      </c>
      <c r="U247">
        <v>0</v>
      </c>
      <c r="V247">
        <v>0</v>
      </c>
      <c r="W247">
        <v>12.6</v>
      </c>
      <c r="X247">
        <v>5</v>
      </c>
      <c r="Y247">
        <v>49.1</v>
      </c>
      <c r="Z247">
        <v>2.9</v>
      </c>
      <c r="AA247">
        <v>15</v>
      </c>
      <c r="AB247">
        <v>1</v>
      </c>
      <c r="AC247">
        <v>3</v>
      </c>
      <c r="AD247">
        <v>0</v>
      </c>
      <c r="AE247">
        <v>0</v>
      </c>
      <c r="AF247">
        <v>0</v>
      </c>
      <c r="AG247">
        <v>0</v>
      </c>
      <c r="AH247">
        <v>0.17647058823529413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2025</v>
      </c>
      <c r="B248" t="s">
        <v>218</v>
      </c>
      <c r="C248" t="s">
        <v>24</v>
      </c>
      <c r="D248" t="str" cm="1">
        <f t="array" ref="D248">_xlfn.XLOOKUP(1,('26 WR'!A:A=E248)*('26 WR'!B:B=F248),'26 WR'!C:C)</f>
        <v>Kayshon Boutte</v>
      </c>
      <c r="E248" t="s">
        <v>20</v>
      </c>
      <c r="F248">
        <v>67</v>
      </c>
      <c r="G248">
        <v>164</v>
      </c>
      <c r="H248">
        <v>0</v>
      </c>
      <c r="I248">
        <v>4</v>
      </c>
      <c r="J248">
        <v>8.4</v>
      </c>
      <c r="K248">
        <v>2.5</v>
      </c>
      <c r="L248">
        <v>0</v>
      </c>
      <c r="M248">
        <v>0</v>
      </c>
      <c r="N248">
        <v>9.8000000000000007</v>
      </c>
      <c r="O248">
        <v>2.1</v>
      </c>
      <c r="P248">
        <v>2.5</v>
      </c>
      <c r="Q248">
        <v>2.7</v>
      </c>
      <c r="R248">
        <v>6.4</v>
      </c>
      <c r="S248">
        <v>16.399999999999999</v>
      </c>
      <c r="T248">
        <v>4.5</v>
      </c>
      <c r="U248">
        <v>1.6</v>
      </c>
      <c r="V248">
        <v>6.5</v>
      </c>
      <c r="W248">
        <v>4.4000000000000004</v>
      </c>
      <c r="X248">
        <v>5.5</v>
      </c>
      <c r="Y248">
        <v>77.300000000000011</v>
      </c>
      <c r="Z248">
        <v>5.5</v>
      </c>
      <c r="AA248">
        <v>11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5.8823529411764705E-2</v>
      </c>
      <c r="AI248">
        <v>6.6666666666666666E-2</v>
      </c>
      <c r="AJ248">
        <v>0</v>
      </c>
      <c r="AK248">
        <v>0</v>
      </c>
      <c r="AL248">
        <v>0</v>
      </c>
    </row>
    <row r="249" spans="1:38" x14ac:dyDescent="0.25">
      <c r="A249">
        <v>2025</v>
      </c>
      <c r="B249" t="s">
        <v>226</v>
      </c>
      <c r="C249" t="s">
        <v>55</v>
      </c>
      <c r="D249" t="str" cm="1">
        <f t="array" ref="D249">_xlfn.XLOOKUP(1,('26 WR'!A:A=E249)*('26 WR'!B:B=F249),'26 WR'!C:C)</f>
        <v>Ryan Flournoy</v>
      </c>
      <c r="E249" t="s">
        <v>20</v>
      </c>
      <c r="F249">
        <v>68</v>
      </c>
      <c r="G249">
        <v>172</v>
      </c>
      <c r="H249">
        <v>4.5999999999999996</v>
      </c>
      <c r="I249">
        <v>10.8</v>
      </c>
      <c r="J249">
        <v>10.7</v>
      </c>
      <c r="K249">
        <v>0</v>
      </c>
      <c r="L249">
        <v>0</v>
      </c>
      <c r="M249">
        <v>6.8</v>
      </c>
      <c r="N249">
        <v>14.8</v>
      </c>
      <c r="O249">
        <v>8.9</v>
      </c>
      <c r="P249">
        <v>17.5</v>
      </c>
      <c r="Q249">
        <v>18.399999999999999</v>
      </c>
      <c r="R249">
        <v>0</v>
      </c>
      <c r="S249">
        <v>3.6</v>
      </c>
      <c r="T249">
        <v>17.8</v>
      </c>
      <c r="U249">
        <v>13</v>
      </c>
      <c r="V249">
        <v>2.6</v>
      </c>
      <c r="W249">
        <v>24.6</v>
      </c>
      <c r="X249">
        <v>0</v>
      </c>
      <c r="Y249">
        <v>154.1</v>
      </c>
      <c r="Z249">
        <v>12.2</v>
      </c>
      <c r="AA249">
        <v>16</v>
      </c>
      <c r="AB249">
        <v>1</v>
      </c>
      <c r="AC249">
        <v>9</v>
      </c>
      <c r="AD249">
        <v>5</v>
      </c>
      <c r="AE249">
        <v>2</v>
      </c>
      <c r="AF249">
        <v>1</v>
      </c>
      <c r="AG249">
        <v>0</v>
      </c>
      <c r="AH249">
        <v>0.52941176470588236</v>
      </c>
      <c r="AI249">
        <v>0.33333333333333331</v>
      </c>
      <c r="AJ249">
        <v>0.13333333333333333</v>
      </c>
      <c r="AK249">
        <v>6.6666666666666666E-2</v>
      </c>
      <c r="AL249">
        <v>0</v>
      </c>
    </row>
    <row r="250" spans="1:38" x14ac:dyDescent="0.25">
      <c r="A250">
        <v>2025</v>
      </c>
      <c r="B250" t="s">
        <v>227</v>
      </c>
      <c r="C250" t="s">
        <v>98</v>
      </c>
      <c r="D250" t="str" cm="1">
        <f t="array" ref="D250">_xlfn.XLOOKUP(1,('26 WR'!A:A=E250)*('26 WR'!B:B=F250),'26 WR'!C:C)</f>
        <v>Stefon Diggs</v>
      </c>
      <c r="E250" t="s">
        <v>20</v>
      </c>
      <c r="F250">
        <v>69</v>
      </c>
      <c r="G250">
        <v>173</v>
      </c>
      <c r="H250">
        <v>0</v>
      </c>
      <c r="I250">
        <v>3.8</v>
      </c>
      <c r="J250">
        <v>0</v>
      </c>
      <c r="K250">
        <v>0</v>
      </c>
      <c r="L250">
        <v>0</v>
      </c>
      <c r="M250">
        <v>4.2</v>
      </c>
      <c r="N250">
        <v>1.6</v>
      </c>
      <c r="O250">
        <v>12</v>
      </c>
      <c r="P250">
        <v>4</v>
      </c>
      <c r="Q250">
        <v>5.3</v>
      </c>
      <c r="R250">
        <v>13.2</v>
      </c>
      <c r="S250">
        <v>0</v>
      </c>
      <c r="T250">
        <v>7.2</v>
      </c>
      <c r="U250">
        <v>7.2</v>
      </c>
      <c r="V250">
        <v>0</v>
      </c>
      <c r="W250">
        <v>9.1999999999999993</v>
      </c>
      <c r="X250">
        <v>0</v>
      </c>
      <c r="Y250">
        <v>67.7</v>
      </c>
      <c r="Z250">
        <v>5</v>
      </c>
      <c r="AA250">
        <v>16</v>
      </c>
      <c r="AB250">
        <v>1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0.11764705882352941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2025</v>
      </c>
      <c r="B251" t="s">
        <v>229</v>
      </c>
      <c r="C251" t="s">
        <v>65</v>
      </c>
      <c r="D251" t="str" cm="1">
        <f t="array" ref="D251">_xlfn.XLOOKUP(1,('26 WR'!A:A=E251)*('26 WR'!B:B=F251),'26 WR'!C:C)</f>
        <v>Calvin Ridley</v>
      </c>
      <c r="E251" t="s">
        <v>20</v>
      </c>
      <c r="F251">
        <v>70</v>
      </c>
      <c r="G251">
        <v>175</v>
      </c>
      <c r="H251">
        <v>24.9</v>
      </c>
      <c r="I251">
        <v>15.9</v>
      </c>
      <c r="J251">
        <v>14.9</v>
      </c>
      <c r="K251">
        <v>23.8</v>
      </c>
      <c r="L251">
        <v>6.9</v>
      </c>
      <c r="M251">
        <v>0</v>
      </c>
      <c r="N251">
        <v>11</v>
      </c>
      <c r="O251">
        <v>0</v>
      </c>
      <c r="P251">
        <v>15.3</v>
      </c>
      <c r="Q251">
        <v>9.1999999999999993</v>
      </c>
      <c r="R251">
        <v>0</v>
      </c>
      <c r="S251">
        <v>0</v>
      </c>
      <c r="T251">
        <v>11.3</v>
      </c>
      <c r="U251">
        <v>2.8</v>
      </c>
      <c r="V251">
        <v>0</v>
      </c>
      <c r="W251">
        <v>20.399999999999999</v>
      </c>
      <c r="X251">
        <v>14.8</v>
      </c>
      <c r="Y251">
        <v>171.20000000000005</v>
      </c>
      <c r="Z251">
        <v>12.2</v>
      </c>
      <c r="AA251">
        <v>16</v>
      </c>
      <c r="AB251">
        <v>1</v>
      </c>
      <c r="AC251">
        <v>9</v>
      </c>
      <c r="AD251">
        <v>5</v>
      </c>
      <c r="AE251">
        <v>3</v>
      </c>
      <c r="AF251">
        <v>0</v>
      </c>
      <c r="AG251">
        <v>0</v>
      </c>
      <c r="AH251">
        <v>0.52941176470588236</v>
      </c>
      <c r="AI251">
        <v>0.35714285714285715</v>
      </c>
      <c r="AJ251">
        <v>0.21428571428571427</v>
      </c>
      <c r="AK251">
        <v>0</v>
      </c>
      <c r="AL251">
        <v>0</v>
      </c>
    </row>
    <row r="252" spans="1:38" x14ac:dyDescent="0.25">
      <c r="A252">
        <v>2025</v>
      </c>
      <c r="B252" t="s">
        <v>231</v>
      </c>
      <c r="C252" t="s">
        <v>114</v>
      </c>
      <c r="D252" t="str" cm="1">
        <f t="array" ref="D252">_xlfn.XLOOKUP(1,('26 WR'!A:A=E252)*('26 WR'!B:B=F252),'26 WR'!C:C)</f>
        <v>Jaylin Noel</v>
      </c>
      <c r="E252" t="s">
        <v>20</v>
      </c>
      <c r="F252">
        <v>71</v>
      </c>
      <c r="G252">
        <v>177</v>
      </c>
      <c r="H252">
        <v>3.3</v>
      </c>
      <c r="I252">
        <v>15.6</v>
      </c>
      <c r="J252">
        <v>13.8</v>
      </c>
      <c r="K252">
        <v>6.4</v>
      </c>
      <c r="L252">
        <v>3.8</v>
      </c>
      <c r="M252">
        <v>5.7</v>
      </c>
      <c r="N252">
        <v>4.9000000000000004</v>
      </c>
      <c r="O252">
        <v>9.1999999999999993</v>
      </c>
      <c r="P252">
        <v>7.6</v>
      </c>
      <c r="Q252">
        <v>0</v>
      </c>
      <c r="R252">
        <v>3.1</v>
      </c>
      <c r="S252">
        <v>0</v>
      </c>
      <c r="T252">
        <v>1.5</v>
      </c>
      <c r="U252">
        <v>8.4</v>
      </c>
      <c r="V252">
        <v>2.7</v>
      </c>
      <c r="W252">
        <v>8.8000000000000007</v>
      </c>
      <c r="X252">
        <v>13.7</v>
      </c>
      <c r="Y252">
        <v>108.5</v>
      </c>
      <c r="Z252">
        <v>7.3</v>
      </c>
      <c r="AA252">
        <v>16</v>
      </c>
      <c r="AB252">
        <v>1</v>
      </c>
      <c r="AC252">
        <v>3</v>
      </c>
      <c r="AD252">
        <v>1</v>
      </c>
      <c r="AE252">
        <v>0</v>
      </c>
      <c r="AF252">
        <v>0</v>
      </c>
      <c r="AG252">
        <v>0</v>
      </c>
      <c r="AH252">
        <v>0.17647058823529413</v>
      </c>
      <c r="AI252">
        <v>6.25E-2</v>
      </c>
      <c r="AJ252">
        <v>0</v>
      </c>
      <c r="AK252">
        <v>0</v>
      </c>
      <c r="AL252">
        <v>0</v>
      </c>
    </row>
    <row r="253" spans="1:38" x14ac:dyDescent="0.25">
      <c r="A253">
        <v>2025</v>
      </c>
      <c r="B253" t="s">
        <v>237</v>
      </c>
      <c r="C253" t="s">
        <v>74</v>
      </c>
      <c r="D253" t="str" cm="1">
        <f t="array" ref="D253">_xlfn.XLOOKUP(1,('26 WR'!A:A=E253)*('26 WR'!B:B=F253),'26 WR'!C:C)</f>
        <v>Isaac TeSlaa</v>
      </c>
      <c r="E253" t="s">
        <v>20</v>
      </c>
      <c r="F253">
        <v>72</v>
      </c>
      <c r="G253">
        <v>183</v>
      </c>
      <c r="H253">
        <v>0</v>
      </c>
      <c r="I253">
        <v>11.2</v>
      </c>
      <c r="J253">
        <v>18.2</v>
      </c>
      <c r="K253">
        <v>2</v>
      </c>
      <c r="L253">
        <v>12.9</v>
      </c>
      <c r="M253">
        <v>0</v>
      </c>
      <c r="N253">
        <v>0</v>
      </c>
      <c r="O253">
        <v>0</v>
      </c>
      <c r="P253">
        <v>20.8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65.099999999999994</v>
      </c>
      <c r="Z253">
        <v>8.1</v>
      </c>
      <c r="AA253">
        <v>17</v>
      </c>
      <c r="AB253">
        <v>1</v>
      </c>
      <c r="AC253">
        <v>4</v>
      </c>
      <c r="AD253">
        <v>2</v>
      </c>
      <c r="AE253">
        <v>1</v>
      </c>
      <c r="AF253">
        <v>0</v>
      </c>
      <c r="AG253">
        <v>0</v>
      </c>
      <c r="AH253">
        <v>0.23529411764705882</v>
      </c>
      <c r="AI253">
        <v>0.25</v>
      </c>
      <c r="AJ253">
        <v>0.125</v>
      </c>
      <c r="AK253">
        <v>0</v>
      </c>
      <c r="AL253">
        <v>0</v>
      </c>
    </row>
    <row r="254" spans="1:38" x14ac:dyDescent="0.25">
      <c r="A254">
        <v>2025</v>
      </c>
      <c r="B254" t="s">
        <v>238</v>
      </c>
      <c r="C254" t="s">
        <v>41</v>
      </c>
      <c r="D254" t="str" cm="1">
        <f t="array" ref="D254">_xlfn.XLOOKUP(1,('26 WR'!A:A=E254)*('26 WR'!B:B=F254),'26 WR'!C:C)</f>
        <v>Darnell Mooney</v>
      </c>
      <c r="E254" t="s">
        <v>20</v>
      </c>
      <c r="F254">
        <v>73</v>
      </c>
      <c r="G254">
        <v>184</v>
      </c>
      <c r="H254">
        <v>11.5</v>
      </c>
      <c r="I254">
        <v>14.4</v>
      </c>
      <c r="J254">
        <v>2.2999999999999998</v>
      </c>
      <c r="K254">
        <v>0</v>
      </c>
      <c r="L254">
        <v>6.6</v>
      </c>
      <c r="M254">
        <v>4</v>
      </c>
      <c r="N254">
        <v>0</v>
      </c>
      <c r="O254">
        <v>2.4</v>
      </c>
      <c r="P254">
        <v>0</v>
      </c>
      <c r="Q254">
        <v>3.6</v>
      </c>
      <c r="R254">
        <v>2.1</v>
      </c>
      <c r="S254">
        <v>3.3</v>
      </c>
      <c r="T254">
        <v>4.5</v>
      </c>
      <c r="U254">
        <v>0</v>
      </c>
      <c r="V254">
        <v>4.2</v>
      </c>
      <c r="W254">
        <v>8.1</v>
      </c>
      <c r="X254">
        <v>0</v>
      </c>
      <c r="Y254">
        <v>67</v>
      </c>
      <c r="Z254">
        <v>3.9</v>
      </c>
      <c r="AA254">
        <v>17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0.11764705882352941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2025</v>
      </c>
      <c r="B255" t="s">
        <v>240</v>
      </c>
      <c r="C255" t="s">
        <v>29</v>
      </c>
      <c r="D255" t="str" cm="1">
        <f t="array" ref="D255">_xlfn.XLOOKUP(1,('26 WR'!A:A=E255)*('26 WR'!B:B=F255),'26 WR'!C:C)</f>
        <v>Deebo Samuel Sr.</v>
      </c>
      <c r="E255" t="s">
        <v>20</v>
      </c>
      <c r="F255">
        <v>74</v>
      </c>
      <c r="G255">
        <v>186</v>
      </c>
      <c r="H255">
        <v>0</v>
      </c>
      <c r="I255">
        <v>2.9</v>
      </c>
      <c r="J255">
        <v>7.7</v>
      </c>
      <c r="K255">
        <v>0</v>
      </c>
      <c r="L255">
        <v>7.6</v>
      </c>
      <c r="M255">
        <v>1</v>
      </c>
      <c r="N255">
        <v>3.8</v>
      </c>
      <c r="O255">
        <v>0</v>
      </c>
      <c r="P255">
        <v>0</v>
      </c>
      <c r="Q255">
        <v>9.4</v>
      </c>
      <c r="R255">
        <v>6.3</v>
      </c>
      <c r="S255">
        <v>10.199999999999999</v>
      </c>
      <c r="T255">
        <v>2.1</v>
      </c>
      <c r="U255">
        <v>7.1</v>
      </c>
      <c r="V255">
        <v>3</v>
      </c>
      <c r="W255">
        <v>1.6</v>
      </c>
      <c r="X255">
        <v>8.9</v>
      </c>
      <c r="Y255">
        <v>71.599999999999994</v>
      </c>
      <c r="Z255">
        <v>4.3</v>
      </c>
      <c r="AA255">
        <v>17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5.8823529411764705E-2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2025</v>
      </c>
      <c r="B256" t="s">
        <v>243</v>
      </c>
      <c r="C256" t="s">
        <v>98</v>
      </c>
      <c r="D256" t="str" cm="1">
        <f t="array" ref="D256">_xlfn.XLOOKUP(1,('26 WR'!A:A=E256)*('26 WR'!B:B=F256),'26 WR'!C:C)</f>
        <v>Pat Bryant</v>
      </c>
      <c r="E256" t="s">
        <v>20</v>
      </c>
      <c r="F256">
        <v>75</v>
      </c>
      <c r="G256">
        <v>189</v>
      </c>
      <c r="H256">
        <v>8.4</v>
      </c>
      <c r="I256">
        <v>24</v>
      </c>
      <c r="J256">
        <v>2.8</v>
      </c>
      <c r="K256">
        <v>9.5</v>
      </c>
      <c r="L256">
        <v>8.5</v>
      </c>
      <c r="M256">
        <v>3.1</v>
      </c>
      <c r="N256">
        <v>12.9</v>
      </c>
      <c r="O256">
        <v>26.9</v>
      </c>
      <c r="P256">
        <v>8.3000000000000007</v>
      </c>
      <c r="Q256">
        <v>15</v>
      </c>
      <c r="R256">
        <v>12.4</v>
      </c>
      <c r="S256">
        <v>0</v>
      </c>
      <c r="T256">
        <v>4.0999999999999996</v>
      </c>
      <c r="U256">
        <v>4.0999999999999996</v>
      </c>
      <c r="V256">
        <v>20.8</v>
      </c>
      <c r="W256">
        <v>10.6</v>
      </c>
      <c r="X256">
        <v>5.7</v>
      </c>
      <c r="Y256">
        <v>177.09999999999997</v>
      </c>
      <c r="Z256">
        <v>10.4</v>
      </c>
      <c r="AA256">
        <v>17</v>
      </c>
      <c r="AB256">
        <v>1</v>
      </c>
      <c r="AC256">
        <v>7</v>
      </c>
      <c r="AD256">
        <v>3</v>
      </c>
      <c r="AE256">
        <v>3</v>
      </c>
      <c r="AF256">
        <v>1</v>
      </c>
      <c r="AG256">
        <v>0</v>
      </c>
      <c r="AH256">
        <v>0.41176470588235292</v>
      </c>
      <c r="AI256">
        <v>0.17647058823529413</v>
      </c>
      <c r="AJ256">
        <v>0.17647058823529413</v>
      </c>
      <c r="AK256">
        <v>5.8823529411764705E-2</v>
      </c>
      <c r="AL256">
        <v>0</v>
      </c>
    </row>
    <row r="257" spans="1:38" x14ac:dyDescent="0.25">
      <c r="A257">
        <v>2025</v>
      </c>
      <c r="B257" t="s">
        <v>244</v>
      </c>
      <c r="C257" t="s">
        <v>21</v>
      </c>
      <c r="D257" t="str" cm="1">
        <f t="array" ref="D257">_xlfn.XLOOKUP(1,('26 WR'!A:A=E257)*('26 WR'!B:B=F257),'26 WR'!C:C)</f>
        <v>Chimere Dike</v>
      </c>
      <c r="E257" t="s">
        <v>20</v>
      </c>
      <c r="F257">
        <v>76</v>
      </c>
      <c r="G257">
        <v>190</v>
      </c>
      <c r="H257">
        <v>0</v>
      </c>
      <c r="I257">
        <v>2.2000000000000002</v>
      </c>
      <c r="J257">
        <v>0</v>
      </c>
      <c r="K257">
        <v>3.7</v>
      </c>
      <c r="L257">
        <v>13.2</v>
      </c>
      <c r="M257">
        <v>1.5</v>
      </c>
      <c r="N257">
        <v>7.9</v>
      </c>
      <c r="O257">
        <v>0</v>
      </c>
      <c r="P257">
        <v>18</v>
      </c>
      <c r="Q257">
        <v>0</v>
      </c>
      <c r="R257">
        <v>5</v>
      </c>
      <c r="S257">
        <v>10.6</v>
      </c>
      <c r="T257">
        <v>9.9</v>
      </c>
      <c r="U257">
        <v>3.7</v>
      </c>
      <c r="V257">
        <v>0</v>
      </c>
      <c r="W257">
        <v>3.1</v>
      </c>
      <c r="X257">
        <v>8.1</v>
      </c>
      <c r="Y257">
        <v>86.899999999999991</v>
      </c>
      <c r="Z257">
        <v>5.3</v>
      </c>
      <c r="AA257">
        <v>17</v>
      </c>
      <c r="AB257">
        <v>1</v>
      </c>
      <c r="AC257">
        <v>3</v>
      </c>
      <c r="AD257">
        <v>1</v>
      </c>
      <c r="AE257">
        <v>0</v>
      </c>
      <c r="AF257">
        <v>0</v>
      </c>
      <c r="AG257">
        <v>0</v>
      </c>
      <c r="AH257">
        <v>0.17647058823529413</v>
      </c>
      <c r="AI257">
        <v>5.8823529411764705E-2</v>
      </c>
      <c r="AJ257">
        <v>0</v>
      </c>
      <c r="AK257">
        <v>0</v>
      </c>
      <c r="AL257">
        <v>0</v>
      </c>
    </row>
    <row r="258" spans="1:38" x14ac:dyDescent="0.25">
      <c r="A258">
        <v>2025</v>
      </c>
      <c r="B258" t="s">
        <v>245</v>
      </c>
      <c r="C258" t="s">
        <v>92</v>
      </c>
      <c r="D258" t="str" cm="1">
        <f t="array" ref="D258">_xlfn.XLOOKUP(1,('26 WR'!A:A=E258)*('26 WR'!B:B=F258),'26 WR'!C:C)</f>
        <v>Malik Washington</v>
      </c>
      <c r="E258" t="s">
        <v>20</v>
      </c>
      <c r="F258">
        <v>77</v>
      </c>
      <c r="G258">
        <v>191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6.6</v>
      </c>
      <c r="P258">
        <v>1.9</v>
      </c>
      <c r="Q258">
        <v>5.0999999999999996</v>
      </c>
      <c r="R258">
        <v>11.2</v>
      </c>
      <c r="S258">
        <v>6.2</v>
      </c>
      <c r="T258">
        <v>17.399999999999999</v>
      </c>
      <c r="U258">
        <v>0</v>
      </c>
      <c r="V258">
        <v>14</v>
      </c>
      <c r="W258">
        <v>7.7</v>
      </c>
      <c r="X258">
        <v>3.6</v>
      </c>
      <c r="Y258">
        <v>73.699999999999989</v>
      </c>
      <c r="Z258">
        <v>8.1999999999999993</v>
      </c>
      <c r="AA258">
        <v>17</v>
      </c>
      <c r="AB258">
        <v>1</v>
      </c>
      <c r="AC258">
        <v>4</v>
      </c>
      <c r="AD258">
        <v>2</v>
      </c>
      <c r="AE258">
        <v>0</v>
      </c>
      <c r="AF258">
        <v>0</v>
      </c>
      <c r="AG258">
        <v>0</v>
      </c>
      <c r="AH258">
        <v>0.23529411764705882</v>
      </c>
      <c r="AI258">
        <v>0.18181818181818182</v>
      </c>
      <c r="AJ258">
        <v>0</v>
      </c>
      <c r="AK258">
        <v>0</v>
      </c>
      <c r="AL258">
        <v>0</v>
      </c>
    </row>
    <row r="259" spans="1:38" x14ac:dyDescent="0.25">
      <c r="A259">
        <v>2025</v>
      </c>
      <c r="B259" t="s">
        <v>246</v>
      </c>
      <c r="C259" t="s">
        <v>43</v>
      </c>
      <c r="D259" t="str" cm="1">
        <f t="array" ref="D259">_xlfn.XLOOKUP(1,('26 WR'!A:A=E259)*('26 WR'!B:B=F259),'26 WR'!C:C)</f>
        <v>Brandon Aiyuk</v>
      </c>
      <c r="E259" t="s">
        <v>20</v>
      </c>
      <c r="F259">
        <v>78</v>
      </c>
      <c r="G259">
        <v>192</v>
      </c>
      <c r="H259">
        <v>0</v>
      </c>
      <c r="I259">
        <v>8.1</v>
      </c>
      <c r="J259">
        <v>7</v>
      </c>
      <c r="K259">
        <v>7.4</v>
      </c>
      <c r="L259">
        <v>4.0999999999999996</v>
      </c>
      <c r="M259">
        <v>0</v>
      </c>
      <c r="N259">
        <v>0</v>
      </c>
      <c r="O259">
        <v>4.5999999999999996</v>
      </c>
      <c r="P259">
        <v>11.2</v>
      </c>
      <c r="Q259">
        <v>12.9</v>
      </c>
      <c r="R259">
        <v>0</v>
      </c>
      <c r="S259">
        <v>3.3</v>
      </c>
      <c r="T259">
        <v>14.1</v>
      </c>
      <c r="U259">
        <v>0</v>
      </c>
      <c r="V259">
        <v>9.3000000000000007</v>
      </c>
      <c r="W259">
        <v>1.8</v>
      </c>
      <c r="X259">
        <v>5.6</v>
      </c>
      <c r="Y259">
        <v>89.399999999999991</v>
      </c>
      <c r="Z259">
        <v>7.1</v>
      </c>
      <c r="AA259">
        <v>17</v>
      </c>
      <c r="AB259">
        <v>1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0.17647058823529413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2025</v>
      </c>
      <c r="B260" t="s">
        <v>247</v>
      </c>
      <c r="C260" t="s">
        <v>45</v>
      </c>
      <c r="D260" t="str" cm="1">
        <f t="array" ref="D260">_xlfn.XLOOKUP(1,('26 WR'!A:A=E260)*('26 WR'!B:B=F260),'26 WR'!C:C)</f>
        <v>Dontayvion Wicks</v>
      </c>
      <c r="E260" t="s">
        <v>20</v>
      </c>
      <c r="F260">
        <v>79</v>
      </c>
      <c r="G260">
        <v>193</v>
      </c>
      <c r="H260">
        <v>1.5</v>
      </c>
      <c r="I260">
        <v>8.1</v>
      </c>
      <c r="J260">
        <v>1.5</v>
      </c>
      <c r="K260">
        <v>4.5</v>
      </c>
      <c r="L260">
        <v>3.6</v>
      </c>
      <c r="M260">
        <v>8.4</v>
      </c>
      <c r="N260">
        <v>7</v>
      </c>
      <c r="O260">
        <v>0</v>
      </c>
      <c r="P260">
        <v>9.1</v>
      </c>
      <c r="Q260">
        <v>7.4</v>
      </c>
      <c r="R260">
        <v>33.5</v>
      </c>
      <c r="S260">
        <v>21.8</v>
      </c>
      <c r="T260">
        <v>6.6</v>
      </c>
      <c r="U260">
        <v>37.200000000000003</v>
      </c>
      <c r="V260">
        <v>16.399999999999999</v>
      </c>
      <c r="W260">
        <v>13.2</v>
      </c>
      <c r="X260">
        <v>19.899999999999999</v>
      </c>
      <c r="Y260">
        <v>199.7</v>
      </c>
      <c r="Z260">
        <v>13</v>
      </c>
      <c r="AA260">
        <v>18</v>
      </c>
      <c r="AB260">
        <v>1</v>
      </c>
      <c r="AC260">
        <v>7</v>
      </c>
      <c r="AD260">
        <v>6</v>
      </c>
      <c r="AE260">
        <v>4</v>
      </c>
      <c r="AF260">
        <v>2</v>
      </c>
      <c r="AG260">
        <v>2</v>
      </c>
      <c r="AH260">
        <v>0.41176470588235292</v>
      </c>
      <c r="AI260">
        <v>0.35294117647058826</v>
      </c>
      <c r="AJ260">
        <v>0.23529411764705882</v>
      </c>
      <c r="AK260">
        <v>0.11764705882352941</v>
      </c>
      <c r="AL260">
        <v>0.11764705882352941</v>
      </c>
    </row>
    <row r="261" spans="1:38" x14ac:dyDescent="0.25">
      <c r="A261">
        <v>2025</v>
      </c>
      <c r="B261" t="s">
        <v>253</v>
      </c>
      <c r="C261" t="s">
        <v>29</v>
      </c>
      <c r="D261" t="str" cm="1">
        <f t="array" ref="D261">_xlfn.XLOOKUP(1,('26 WR'!A:A=E261)*('26 WR'!B:B=F261),'26 WR'!C:C)</f>
        <v>Jalen Nailor</v>
      </c>
      <c r="E261" t="s">
        <v>20</v>
      </c>
      <c r="F261">
        <v>80</v>
      </c>
      <c r="G261">
        <v>199</v>
      </c>
      <c r="H261">
        <v>3.3</v>
      </c>
      <c r="I261">
        <v>0</v>
      </c>
      <c r="J261">
        <v>2</v>
      </c>
      <c r="K261">
        <v>0</v>
      </c>
      <c r="L261">
        <v>5.7</v>
      </c>
      <c r="M261">
        <v>0</v>
      </c>
      <c r="N261">
        <v>3.3</v>
      </c>
      <c r="O261">
        <v>0</v>
      </c>
      <c r="P261">
        <v>0</v>
      </c>
      <c r="Q261">
        <v>0</v>
      </c>
      <c r="R261">
        <v>2.9</v>
      </c>
      <c r="S261">
        <v>0</v>
      </c>
      <c r="T261">
        <v>4.2</v>
      </c>
      <c r="U261">
        <v>11</v>
      </c>
      <c r="V261">
        <v>3.7</v>
      </c>
      <c r="W261">
        <v>6.3</v>
      </c>
      <c r="X261">
        <v>0</v>
      </c>
      <c r="Y261">
        <v>42.4</v>
      </c>
      <c r="Z261">
        <v>2.7</v>
      </c>
      <c r="AA261">
        <v>20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5.8823529411764705E-2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2025</v>
      </c>
      <c r="B262" t="s">
        <v>256</v>
      </c>
      <c r="C262" t="s">
        <v>59</v>
      </c>
      <c r="D262" t="str" cm="1">
        <f t="array" ref="D262">_xlfn.XLOOKUP(1,('26 WR'!A:A=E262)*('26 WR'!B:B=F262),'26 WR'!C:C)</f>
        <v>Antonio Williams</v>
      </c>
      <c r="E262" t="s">
        <v>20</v>
      </c>
      <c r="F262">
        <v>81</v>
      </c>
      <c r="G262">
        <v>202</v>
      </c>
      <c r="H262">
        <v>4.9000000000000004</v>
      </c>
      <c r="I262">
        <v>9.5</v>
      </c>
      <c r="J262">
        <v>6.2</v>
      </c>
      <c r="K262">
        <v>4.0999999999999996</v>
      </c>
      <c r="L262">
        <v>4</v>
      </c>
      <c r="M262">
        <v>6.3</v>
      </c>
      <c r="N262">
        <v>8</v>
      </c>
      <c r="O262">
        <v>13.6</v>
      </c>
      <c r="P262">
        <v>7.1</v>
      </c>
      <c r="Q262">
        <v>9.3000000000000007</v>
      </c>
      <c r="R262">
        <v>7.2</v>
      </c>
      <c r="S262">
        <v>0</v>
      </c>
      <c r="T262">
        <v>7</v>
      </c>
      <c r="U262">
        <v>4</v>
      </c>
      <c r="V262">
        <v>2</v>
      </c>
      <c r="W262">
        <v>10.199999999999999</v>
      </c>
      <c r="X262">
        <v>1.5</v>
      </c>
      <c r="Y262">
        <v>104.9</v>
      </c>
      <c r="Z262">
        <v>6.9</v>
      </c>
      <c r="AA262">
        <v>19</v>
      </c>
      <c r="AB262">
        <v>1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0.17647058823529413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>
        <v>2025</v>
      </c>
      <c r="B263" t="s">
        <v>258</v>
      </c>
      <c r="C263" t="s">
        <v>108</v>
      </c>
      <c r="D263" t="str" cm="1">
        <f t="array" ref="D263">_xlfn.XLOOKUP(1,('26 WR'!A:A=E263)*('26 WR'!B:B=F263),'26 WR'!C:C)</f>
        <v>De'Zhaun Stribling</v>
      </c>
      <c r="E263" t="s">
        <v>20</v>
      </c>
      <c r="F263">
        <v>82</v>
      </c>
      <c r="G263">
        <v>204</v>
      </c>
      <c r="H263">
        <v>17</v>
      </c>
      <c r="I263">
        <v>3.2</v>
      </c>
      <c r="J263">
        <v>12.4</v>
      </c>
      <c r="K263">
        <v>3.3</v>
      </c>
      <c r="L263">
        <v>0</v>
      </c>
      <c r="M263">
        <v>0</v>
      </c>
      <c r="N263">
        <v>0</v>
      </c>
      <c r="O263">
        <v>6.8</v>
      </c>
      <c r="P263">
        <v>10.6</v>
      </c>
      <c r="Q263">
        <v>3.4</v>
      </c>
      <c r="R263">
        <v>1.5</v>
      </c>
      <c r="S263">
        <v>7.6</v>
      </c>
      <c r="T263">
        <v>0</v>
      </c>
      <c r="U263">
        <v>4.0999999999999996</v>
      </c>
      <c r="V263">
        <v>0</v>
      </c>
      <c r="W263">
        <v>1.8</v>
      </c>
      <c r="X263">
        <v>0</v>
      </c>
      <c r="Y263">
        <v>71.699999999999989</v>
      </c>
      <c r="Z263">
        <v>6.2</v>
      </c>
      <c r="AA263">
        <v>19</v>
      </c>
      <c r="AB263">
        <v>1</v>
      </c>
      <c r="AC263">
        <v>4</v>
      </c>
      <c r="AD263">
        <v>1</v>
      </c>
      <c r="AE263">
        <v>0</v>
      </c>
      <c r="AF263">
        <v>0</v>
      </c>
      <c r="AG263">
        <v>0</v>
      </c>
      <c r="AH263">
        <v>0.23529411764705882</v>
      </c>
      <c r="AI263">
        <v>7.1428571428571425E-2</v>
      </c>
      <c r="AJ263">
        <v>0</v>
      </c>
      <c r="AK263">
        <v>0</v>
      </c>
      <c r="AL263">
        <v>0</v>
      </c>
    </row>
    <row r="264" spans="1:38" x14ac:dyDescent="0.25">
      <c r="A264">
        <v>2025</v>
      </c>
      <c r="B264" t="s">
        <v>259</v>
      </c>
      <c r="C264" t="s">
        <v>51</v>
      </c>
      <c r="D264" t="str" cm="1">
        <f t="array" ref="D264">_xlfn.XLOOKUP(1,('26 WR'!A:A=E264)*('26 WR'!B:B=F264),'26 WR'!C:C)</f>
        <v>Germie Bernard</v>
      </c>
      <c r="E264" t="s">
        <v>20</v>
      </c>
      <c r="F264">
        <v>83</v>
      </c>
      <c r="G264">
        <v>205</v>
      </c>
      <c r="H264">
        <v>8.8000000000000007</v>
      </c>
      <c r="I264">
        <v>17.600000000000001</v>
      </c>
      <c r="J264">
        <v>2.7</v>
      </c>
      <c r="K264">
        <v>0</v>
      </c>
      <c r="L264">
        <v>3.5</v>
      </c>
      <c r="M264">
        <v>4</v>
      </c>
      <c r="N264">
        <v>7</v>
      </c>
      <c r="O264">
        <v>0</v>
      </c>
      <c r="P264">
        <v>5.9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1.6</v>
      </c>
      <c r="W264">
        <v>0</v>
      </c>
      <c r="X264">
        <v>0</v>
      </c>
      <c r="Y264">
        <v>51.1</v>
      </c>
      <c r="Z264">
        <v>3.3</v>
      </c>
      <c r="AA264">
        <v>19</v>
      </c>
      <c r="AB264">
        <v>1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5.8823529411764705E-2</v>
      </c>
      <c r="AI264">
        <v>6.6666666666666666E-2</v>
      </c>
      <c r="AJ264">
        <v>0</v>
      </c>
      <c r="AK264">
        <v>0</v>
      </c>
      <c r="AL264">
        <v>0</v>
      </c>
    </row>
    <row r="265" spans="1:38" x14ac:dyDescent="0.25">
      <c r="A265">
        <v>2025</v>
      </c>
      <c r="B265" t="s">
        <v>263</v>
      </c>
      <c r="C265" t="s">
        <v>31</v>
      </c>
      <c r="D265" t="str" cm="1">
        <f t="array" ref="D265">_xlfn.XLOOKUP(1,('26 WR'!A:A=E265)*('26 WR'!B:B=F265),'26 WR'!C:C)</f>
        <v>Cooper Kupp</v>
      </c>
      <c r="E265" t="s">
        <v>20</v>
      </c>
      <c r="F265">
        <v>84</v>
      </c>
      <c r="G265">
        <v>209</v>
      </c>
      <c r="H265">
        <v>3.8</v>
      </c>
      <c r="I265">
        <v>6.1</v>
      </c>
      <c r="J265">
        <v>6.7</v>
      </c>
      <c r="K265">
        <v>9.1999999999999993</v>
      </c>
      <c r="L265">
        <v>7.2</v>
      </c>
      <c r="M265">
        <v>0</v>
      </c>
      <c r="N265">
        <v>5.7</v>
      </c>
      <c r="O265">
        <v>0</v>
      </c>
      <c r="P265">
        <v>2.6</v>
      </c>
      <c r="Q265">
        <v>23.4</v>
      </c>
      <c r="R265">
        <v>2.6</v>
      </c>
      <c r="S265">
        <v>0</v>
      </c>
      <c r="T265">
        <v>0</v>
      </c>
      <c r="U265">
        <v>6</v>
      </c>
      <c r="V265">
        <v>19.5</v>
      </c>
      <c r="W265">
        <v>0</v>
      </c>
      <c r="X265">
        <v>0</v>
      </c>
      <c r="Y265">
        <v>92.8</v>
      </c>
      <c r="Z265">
        <v>5.9</v>
      </c>
      <c r="AA265">
        <v>20</v>
      </c>
      <c r="AB265">
        <v>1</v>
      </c>
      <c r="AC265">
        <v>2</v>
      </c>
      <c r="AD265">
        <v>2</v>
      </c>
      <c r="AE265">
        <v>1</v>
      </c>
      <c r="AF265">
        <v>0</v>
      </c>
      <c r="AG265">
        <v>0</v>
      </c>
      <c r="AH265">
        <v>0.11764705882352941</v>
      </c>
      <c r="AI265">
        <v>0.11764705882352941</v>
      </c>
      <c r="AJ265">
        <v>5.8823529411764705E-2</v>
      </c>
      <c r="AK265">
        <v>0</v>
      </c>
      <c r="AL265">
        <v>0</v>
      </c>
    </row>
    <row r="266" spans="1:38" x14ac:dyDescent="0.25">
      <c r="A266">
        <v>2025</v>
      </c>
      <c r="B266" t="s">
        <v>265</v>
      </c>
      <c r="C266" t="s">
        <v>85</v>
      </c>
      <c r="D266" t="str" cm="1">
        <f t="array" ref="D266">_xlfn.XLOOKUP(1,('26 WR'!A:A=E266)*('26 WR'!B:B=F266),'26 WR'!C:C)</f>
        <v>Tank Dell</v>
      </c>
      <c r="E266" t="s">
        <v>20</v>
      </c>
      <c r="F266">
        <v>85</v>
      </c>
      <c r="G266">
        <v>211</v>
      </c>
      <c r="H266">
        <v>10.5</v>
      </c>
      <c r="I266">
        <v>1.5</v>
      </c>
      <c r="J266">
        <v>9.5</v>
      </c>
      <c r="K266">
        <v>13.6</v>
      </c>
      <c r="L266">
        <v>3.7</v>
      </c>
      <c r="M266">
        <v>8.6999999999999993</v>
      </c>
      <c r="N266">
        <v>6.5</v>
      </c>
      <c r="O266">
        <v>4.9000000000000004</v>
      </c>
      <c r="P266">
        <v>1.2</v>
      </c>
      <c r="Q266">
        <v>0</v>
      </c>
      <c r="R266">
        <v>0</v>
      </c>
      <c r="S266">
        <v>1.8</v>
      </c>
      <c r="T266">
        <v>0</v>
      </c>
      <c r="U266">
        <v>1.5</v>
      </c>
      <c r="V266">
        <v>0</v>
      </c>
      <c r="W266">
        <v>2.2000000000000002</v>
      </c>
      <c r="X266">
        <v>4.5999999999999996</v>
      </c>
      <c r="Y266">
        <v>70.199999999999989</v>
      </c>
      <c r="Z266">
        <v>4.3</v>
      </c>
      <c r="AA266">
        <v>20</v>
      </c>
      <c r="AB266">
        <v>1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0.11764705882352941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2025</v>
      </c>
      <c r="B267" t="s">
        <v>270</v>
      </c>
      <c r="C267" t="s">
        <v>37</v>
      </c>
      <c r="D267" t="str" cm="1">
        <f t="array" ref="D267">_xlfn.XLOOKUP(1,('26 WR'!A:A=E267)*('26 WR'!B:B=F267),'26 WR'!C:C)</f>
        <v>Ted Hurst III</v>
      </c>
      <c r="E267" t="s">
        <v>20</v>
      </c>
      <c r="F267">
        <v>86</v>
      </c>
      <c r="G267">
        <v>216</v>
      </c>
      <c r="H267">
        <v>3.6</v>
      </c>
      <c r="I267">
        <v>3.3</v>
      </c>
      <c r="J267">
        <v>1.4</v>
      </c>
      <c r="K267">
        <v>9.3000000000000007</v>
      </c>
      <c r="L267">
        <v>0</v>
      </c>
      <c r="M267">
        <v>0</v>
      </c>
      <c r="N267">
        <v>4.7</v>
      </c>
      <c r="O267">
        <v>0</v>
      </c>
      <c r="P267">
        <v>0</v>
      </c>
      <c r="Q267">
        <v>9.9</v>
      </c>
      <c r="R267">
        <v>0</v>
      </c>
      <c r="S267">
        <v>5.7</v>
      </c>
      <c r="T267">
        <v>0</v>
      </c>
      <c r="U267">
        <v>0</v>
      </c>
      <c r="V267">
        <v>3</v>
      </c>
      <c r="W267">
        <v>16.2</v>
      </c>
      <c r="X267">
        <v>1.5</v>
      </c>
      <c r="Y267">
        <v>58.600000000000009</v>
      </c>
      <c r="Z267">
        <v>4.5</v>
      </c>
      <c r="AA267">
        <v>20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5.8823529411764705E-2</v>
      </c>
      <c r="AI267">
        <v>6.6666666666666666E-2</v>
      </c>
      <c r="AJ267">
        <v>0</v>
      </c>
      <c r="AK267">
        <v>0</v>
      </c>
      <c r="AL267">
        <v>0</v>
      </c>
    </row>
    <row r="268" spans="1:38" x14ac:dyDescent="0.25">
      <c r="A268">
        <v>2025</v>
      </c>
      <c r="B268" t="s">
        <v>271</v>
      </c>
      <c r="C268" t="s">
        <v>57</v>
      </c>
      <c r="D268" t="str" cm="1">
        <f t="array" ref="D268">_xlfn.XLOOKUP(1,('26 WR'!A:A=E268)*('26 WR'!B:B=F268),'26 WR'!C:C)</f>
        <v>Elic Ayomanor</v>
      </c>
      <c r="E268" t="s">
        <v>20</v>
      </c>
      <c r="F268">
        <v>87</v>
      </c>
      <c r="G268">
        <v>217</v>
      </c>
      <c r="H268">
        <v>0</v>
      </c>
      <c r="I268">
        <v>0</v>
      </c>
      <c r="J268">
        <v>0</v>
      </c>
      <c r="K268">
        <v>2.2999999999999998</v>
      </c>
      <c r="L268">
        <v>10.1</v>
      </c>
      <c r="M268">
        <v>11.5</v>
      </c>
      <c r="N268">
        <v>15.8</v>
      </c>
      <c r="O268">
        <v>9.3000000000000007</v>
      </c>
      <c r="P268">
        <v>0</v>
      </c>
      <c r="Q268">
        <v>20.2</v>
      </c>
      <c r="R268">
        <v>1.6</v>
      </c>
      <c r="S268">
        <v>12.3</v>
      </c>
      <c r="T268">
        <v>1.5</v>
      </c>
      <c r="U268">
        <v>0</v>
      </c>
      <c r="V268">
        <v>0</v>
      </c>
      <c r="W268">
        <v>0.9</v>
      </c>
      <c r="X268">
        <v>3.9</v>
      </c>
      <c r="Y268">
        <v>89.4</v>
      </c>
      <c r="Z268">
        <v>5.8</v>
      </c>
      <c r="AA268">
        <v>20</v>
      </c>
      <c r="AB268">
        <v>1</v>
      </c>
      <c r="AC268">
        <v>5</v>
      </c>
      <c r="AD268">
        <v>2</v>
      </c>
      <c r="AE268">
        <v>1</v>
      </c>
      <c r="AF268">
        <v>0</v>
      </c>
      <c r="AG268">
        <v>0</v>
      </c>
      <c r="AH268">
        <v>0.29411764705882354</v>
      </c>
      <c r="AI268">
        <v>0.125</v>
      </c>
      <c r="AJ268">
        <v>6.25E-2</v>
      </c>
      <c r="AK268">
        <v>0</v>
      </c>
      <c r="AL268">
        <v>0</v>
      </c>
    </row>
    <row r="269" spans="1:38" x14ac:dyDescent="0.25">
      <c r="A269">
        <v>2025</v>
      </c>
      <c r="B269" t="s">
        <v>272</v>
      </c>
      <c r="C269" t="s">
        <v>80</v>
      </c>
      <c r="D269" t="str" cm="1">
        <f t="array" ref="D269">_xlfn.XLOOKUP(1,('26 WR'!A:A=E269)*('26 WR'!B:B=F269),'26 WR'!C:C)</f>
        <v>Rashod Bateman</v>
      </c>
      <c r="E269" t="s">
        <v>20</v>
      </c>
      <c r="F269">
        <v>88</v>
      </c>
      <c r="G269">
        <v>218</v>
      </c>
      <c r="H269">
        <v>0</v>
      </c>
      <c r="I269">
        <v>4.9000000000000004</v>
      </c>
      <c r="J269">
        <v>14.6</v>
      </c>
      <c r="K269">
        <v>10.1</v>
      </c>
      <c r="L269">
        <v>6</v>
      </c>
      <c r="M269">
        <v>10.3</v>
      </c>
      <c r="N269">
        <v>0</v>
      </c>
      <c r="O269">
        <v>5.4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51.300000000000004</v>
      </c>
      <c r="Z269">
        <v>5.7</v>
      </c>
      <c r="AA269">
        <v>20</v>
      </c>
      <c r="AB269">
        <v>1</v>
      </c>
      <c r="AC269">
        <v>3</v>
      </c>
      <c r="AD269">
        <v>0</v>
      </c>
      <c r="AE269">
        <v>0</v>
      </c>
      <c r="AF269">
        <v>0</v>
      </c>
      <c r="AG269">
        <v>0</v>
      </c>
      <c r="AH269">
        <v>0.17647058823529413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2025</v>
      </c>
      <c r="B270" t="s">
        <v>273</v>
      </c>
      <c r="C270" t="s">
        <v>35</v>
      </c>
      <c r="D270" t="str" cm="1">
        <f t="array" ref="D270">_xlfn.XLOOKUP(1,('26 WR'!A:A=E270)*('26 WR'!B:B=F270),'26 WR'!C:C)</f>
        <v>Zachariah Branch</v>
      </c>
      <c r="E270" t="s">
        <v>20</v>
      </c>
      <c r="F270">
        <v>89</v>
      </c>
      <c r="G270">
        <v>219</v>
      </c>
      <c r="H270">
        <v>1</v>
      </c>
      <c r="I270">
        <v>3.6</v>
      </c>
      <c r="J270">
        <v>7.4</v>
      </c>
      <c r="K270">
        <v>10.1</v>
      </c>
      <c r="L270">
        <v>0</v>
      </c>
      <c r="M270">
        <v>1.8</v>
      </c>
      <c r="N270">
        <v>2.6</v>
      </c>
      <c r="O270">
        <v>12.7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</v>
      </c>
      <c r="Y270">
        <v>46.300000000000004</v>
      </c>
      <c r="Z270">
        <v>3.6</v>
      </c>
      <c r="AA270">
        <v>20</v>
      </c>
      <c r="AB270">
        <v>1</v>
      </c>
      <c r="AC270">
        <v>2</v>
      </c>
      <c r="AD270">
        <v>0</v>
      </c>
      <c r="AE270">
        <v>0</v>
      </c>
      <c r="AF270">
        <v>0</v>
      </c>
      <c r="AG270">
        <v>0</v>
      </c>
      <c r="AH270">
        <v>0.11764705882352941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2025</v>
      </c>
      <c r="B271" t="s">
        <v>275</v>
      </c>
      <c r="C271" t="s">
        <v>110</v>
      </c>
      <c r="D271" t="str" cm="1">
        <f t="array" ref="D271">_xlfn.XLOOKUP(1,('26 WR'!A:A=E271)*('26 WR'!B:B=F271),'26 WR'!C:C)</f>
        <v>Tyreek Hill</v>
      </c>
      <c r="E271" t="s">
        <v>20</v>
      </c>
      <c r="F271">
        <v>90</v>
      </c>
      <c r="G271">
        <v>221</v>
      </c>
      <c r="H271">
        <v>8.1999999999999993</v>
      </c>
      <c r="I271">
        <v>4.0999999999999996</v>
      </c>
      <c r="J271">
        <v>6.6</v>
      </c>
      <c r="K271">
        <v>9.1</v>
      </c>
      <c r="L271">
        <v>0</v>
      </c>
      <c r="M271">
        <v>4.8</v>
      </c>
      <c r="N271">
        <v>2.9</v>
      </c>
      <c r="O271">
        <v>10.3</v>
      </c>
      <c r="P271">
        <v>17.8</v>
      </c>
      <c r="Q271">
        <v>1.5</v>
      </c>
      <c r="R271">
        <v>0</v>
      </c>
      <c r="S271">
        <v>1.6</v>
      </c>
      <c r="T271">
        <v>3.9</v>
      </c>
      <c r="U271">
        <v>8.6999999999999993</v>
      </c>
      <c r="V271">
        <v>0</v>
      </c>
      <c r="W271">
        <v>5.3</v>
      </c>
      <c r="X271">
        <v>0</v>
      </c>
      <c r="Y271">
        <v>84.8</v>
      </c>
      <c r="Z271">
        <v>5.3</v>
      </c>
      <c r="AA271">
        <v>20</v>
      </c>
      <c r="AB271">
        <v>1</v>
      </c>
      <c r="AC271">
        <v>2</v>
      </c>
      <c r="AD271">
        <v>1</v>
      </c>
      <c r="AE271">
        <v>0</v>
      </c>
      <c r="AF271">
        <v>0</v>
      </c>
      <c r="AG271">
        <v>0</v>
      </c>
      <c r="AH271">
        <v>0.11764705882352941</v>
      </c>
      <c r="AI271">
        <v>6.25E-2</v>
      </c>
      <c r="AJ271">
        <v>0</v>
      </c>
      <c r="AK271">
        <v>0</v>
      </c>
      <c r="AL271">
        <v>0</v>
      </c>
    </row>
    <row r="272" spans="1:38" x14ac:dyDescent="0.25">
      <c r="A272">
        <v>2025</v>
      </c>
      <c r="B272" t="s">
        <v>276</v>
      </c>
      <c r="C272" t="s">
        <v>33</v>
      </c>
      <c r="D272" t="str" cm="1">
        <f t="array" ref="D272">_xlfn.XLOOKUP(1,('26 WR'!A:A=E272)*('26 WR'!B:B=F272),'26 WR'!C:C)</f>
        <v>Jack Bech</v>
      </c>
      <c r="E272" t="s">
        <v>20</v>
      </c>
      <c r="F272">
        <v>91</v>
      </c>
      <c r="G272">
        <v>222</v>
      </c>
      <c r="H272">
        <v>8.9</v>
      </c>
      <c r="I272">
        <v>1.4</v>
      </c>
      <c r="J272">
        <v>1.7</v>
      </c>
      <c r="K272">
        <v>0</v>
      </c>
      <c r="L272">
        <v>3.4</v>
      </c>
      <c r="M272">
        <v>2.7</v>
      </c>
      <c r="N272">
        <v>0</v>
      </c>
      <c r="O272">
        <v>11</v>
      </c>
      <c r="P272">
        <v>0</v>
      </c>
      <c r="Q272">
        <v>0</v>
      </c>
      <c r="R272">
        <v>6.3</v>
      </c>
      <c r="S272">
        <v>0</v>
      </c>
      <c r="T272">
        <v>2.2000000000000002</v>
      </c>
      <c r="U272">
        <v>1.3</v>
      </c>
      <c r="V272">
        <v>0</v>
      </c>
      <c r="W272">
        <v>4.3</v>
      </c>
      <c r="X272">
        <v>0</v>
      </c>
      <c r="Y272">
        <v>43.199999999999996</v>
      </c>
      <c r="Z272">
        <v>3</v>
      </c>
      <c r="AA272">
        <v>20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5.8823529411764705E-2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2025</v>
      </c>
      <c r="B273" t="s">
        <v>280</v>
      </c>
      <c r="C273" t="s">
        <v>68</v>
      </c>
      <c r="D273" t="str" cm="1">
        <f t="array" ref="D273">_xlfn.XLOOKUP(1,('26 WR'!A:A=E273)*('26 WR'!B:B=F273),'26 WR'!C:C)</f>
        <v>Christian Kirk</v>
      </c>
      <c r="E273" t="s">
        <v>20</v>
      </c>
      <c r="F273">
        <v>92</v>
      </c>
      <c r="G273">
        <v>226</v>
      </c>
      <c r="H273">
        <v>0</v>
      </c>
      <c r="I273">
        <v>0</v>
      </c>
      <c r="J273">
        <v>4.4000000000000004</v>
      </c>
      <c r="K273">
        <v>0</v>
      </c>
      <c r="L273">
        <v>0</v>
      </c>
      <c r="M273">
        <v>5.7</v>
      </c>
      <c r="N273">
        <v>0</v>
      </c>
      <c r="O273">
        <v>0</v>
      </c>
      <c r="P273">
        <v>1.7</v>
      </c>
      <c r="Q273">
        <v>3.4</v>
      </c>
      <c r="R273">
        <v>19</v>
      </c>
      <c r="S273">
        <v>0</v>
      </c>
      <c r="T273">
        <v>0</v>
      </c>
      <c r="U273">
        <v>2.6</v>
      </c>
      <c r="V273">
        <v>0</v>
      </c>
      <c r="W273">
        <v>3.1</v>
      </c>
      <c r="X273">
        <v>5.6</v>
      </c>
      <c r="Y273">
        <v>45.500000000000007</v>
      </c>
      <c r="Z273">
        <v>2.7</v>
      </c>
      <c r="AA273">
        <v>20</v>
      </c>
      <c r="AB273">
        <v>1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5.8823529411764705E-2</v>
      </c>
      <c r="AI273">
        <v>5.8823529411764705E-2</v>
      </c>
      <c r="AJ273">
        <v>0</v>
      </c>
      <c r="AK273">
        <v>0</v>
      </c>
      <c r="AL273">
        <v>0</v>
      </c>
    </row>
    <row r="274" spans="1:38" x14ac:dyDescent="0.25">
      <c r="A274">
        <v>2025</v>
      </c>
      <c r="B274" t="s">
        <v>281</v>
      </c>
      <c r="C274" t="s">
        <v>78</v>
      </c>
      <c r="D274" t="str" cm="1">
        <f t="array" ref="D274">_xlfn.XLOOKUP(1,('26 WR'!A:A=E274)*('26 WR'!B:B=F274),'26 WR'!C:C)</f>
        <v>Keon Coleman</v>
      </c>
      <c r="E274" t="s">
        <v>20</v>
      </c>
      <c r="F274">
        <v>93</v>
      </c>
      <c r="G274">
        <v>227</v>
      </c>
      <c r="H274">
        <v>1.3</v>
      </c>
      <c r="I274">
        <v>7.8</v>
      </c>
      <c r="J274">
        <v>6.7</v>
      </c>
      <c r="K274">
        <v>7.4</v>
      </c>
      <c r="L274">
        <v>0</v>
      </c>
      <c r="M274">
        <v>4.8</v>
      </c>
      <c r="N274">
        <v>7.3</v>
      </c>
      <c r="O274">
        <v>15.9</v>
      </c>
      <c r="P274">
        <v>2.9</v>
      </c>
      <c r="Q274">
        <v>16.600000000000001</v>
      </c>
      <c r="R274">
        <v>10.4</v>
      </c>
      <c r="S274">
        <v>5</v>
      </c>
      <c r="T274">
        <v>5.3</v>
      </c>
      <c r="U274">
        <v>0</v>
      </c>
      <c r="V274">
        <v>8.1</v>
      </c>
      <c r="W274">
        <v>13.9</v>
      </c>
      <c r="X274">
        <v>0</v>
      </c>
      <c r="Y274">
        <v>113.4</v>
      </c>
      <c r="Z274">
        <v>7.6</v>
      </c>
      <c r="AA274">
        <v>20</v>
      </c>
      <c r="AB274">
        <v>1</v>
      </c>
      <c r="AC274">
        <v>4</v>
      </c>
      <c r="AD274">
        <v>2</v>
      </c>
      <c r="AE274">
        <v>0</v>
      </c>
      <c r="AF274">
        <v>0</v>
      </c>
      <c r="AG274">
        <v>0</v>
      </c>
      <c r="AH274">
        <v>0.23529411764705882</v>
      </c>
      <c r="AI274">
        <v>0.13333333333333333</v>
      </c>
      <c r="AJ274">
        <v>0</v>
      </c>
      <c r="AK274">
        <v>0</v>
      </c>
      <c r="AL274">
        <v>0</v>
      </c>
    </row>
    <row r="275" spans="1:38" x14ac:dyDescent="0.25">
      <c r="A275">
        <v>2025</v>
      </c>
      <c r="B275" t="s">
        <v>282</v>
      </c>
      <c r="C275" t="s">
        <v>39</v>
      </c>
      <c r="D275" t="str" cm="1">
        <f t="array" ref="D275">_xlfn.XLOOKUP(1,('26 WR'!A:A=E275)*('26 WR'!B:B=F275),'26 WR'!C:C)</f>
        <v>Chris Bell</v>
      </c>
      <c r="E275" t="s">
        <v>20</v>
      </c>
      <c r="F275">
        <v>94</v>
      </c>
      <c r="G275">
        <v>228</v>
      </c>
      <c r="H275">
        <v>5.5</v>
      </c>
      <c r="I275">
        <v>4.9000000000000004</v>
      </c>
      <c r="J275">
        <v>4.5999999999999996</v>
      </c>
      <c r="K275">
        <v>3.7</v>
      </c>
      <c r="L275">
        <v>16.8</v>
      </c>
      <c r="M275">
        <v>0</v>
      </c>
      <c r="N275">
        <v>2.2999999999999998</v>
      </c>
      <c r="O275">
        <v>17.899999999999999</v>
      </c>
      <c r="P275">
        <v>6</v>
      </c>
      <c r="Q275">
        <v>0</v>
      </c>
      <c r="R275">
        <v>7.2</v>
      </c>
      <c r="S275">
        <v>0.9</v>
      </c>
      <c r="T275">
        <v>5.9</v>
      </c>
      <c r="U275">
        <v>0</v>
      </c>
      <c r="V275">
        <v>2.6</v>
      </c>
      <c r="W275">
        <v>1.4</v>
      </c>
      <c r="X275">
        <v>4.9000000000000004</v>
      </c>
      <c r="Y275">
        <v>84.600000000000009</v>
      </c>
      <c r="Z275">
        <v>5.8</v>
      </c>
      <c r="AA275">
        <v>20</v>
      </c>
      <c r="AB275">
        <v>1</v>
      </c>
      <c r="AC275">
        <v>3</v>
      </c>
      <c r="AD275">
        <v>2</v>
      </c>
      <c r="AE275">
        <v>0</v>
      </c>
      <c r="AF275">
        <v>0</v>
      </c>
      <c r="AG275">
        <v>0</v>
      </c>
      <c r="AH275">
        <v>0.17647058823529413</v>
      </c>
      <c r="AI275">
        <v>0.11764705882352941</v>
      </c>
      <c r="AJ275">
        <v>0</v>
      </c>
      <c r="AK275">
        <v>0</v>
      </c>
      <c r="AL275">
        <v>0</v>
      </c>
    </row>
    <row r="276" spans="1:38" x14ac:dyDescent="0.25">
      <c r="A276">
        <v>2025</v>
      </c>
      <c r="B276" t="s">
        <v>285</v>
      </c>
      <c r="C276" t="s">
        <v>51</v>
      </c>
      <c r="D276" t="str" cm="1">
        <f t="array" ref="D276">_xlfn.XLOOKUP(1,('26 WR'!A:A=E276)*('26 WR'!B:B=F276),'26 WR'!C:C)</f>
        <v>Elijah Sarratt</v>
      </c>
      <c r="E276" t="s">
        <v>20</v>
      </c>
      <c r="F276">
        <v>95</v>
      </c>
      <c r="G276">
        <v>231</v>
      </c>
      <c r="H276">
        <v>0</v>
      </c>
      <c r="I276">
        <v>0</v>
      </c>
      <c r="J276">
        <v>2.6</v>
      </c>
      <c r="K276">
        <v>0.9</v>
      </c>
      <c r="L276">
        <v>0</v>
      </c>
      <c r="M276">
        <v>9.6</v>
      </c>
      <c r="N276">
        <v>3.2</v>
      </c>
      <c r="O276">
        <v>0</v>
      </c>
      <c r="P276">
        <v>0</v>
      </c>
      <c r="Q276">
        <v>0</v>
      </c>
      <c r="R276">
        <v>11</v>
      </c>
      <c r="S276">
        <v>0</v>
      </c>
      <c r="T276">
        <v>2.1</v>
      </c>
      <c r="U276">
        <v>18.8</v>
      </c>
      <c r="V276">
        <v>0</v>
      </c>
      <c r="W276">
        <v>2.1</v>
      </c>
      <c r="X276">
        <v>0</v>
      </c>
      <c r="Y276">
        <v>50.300000000000004</v>
      </c>
      <c r="Z276">
        <v>3.2</v>
      </c>
      <c r="AA276">
        <v>20</v>
      </c>
      <c r="AB276">
        <v>1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0.11764705882352941</v>
      </c>
      <c r="AI276">
        <v>6.25E-2</v>
      </c>
      <c r="AJ276">
        <v>0</v>
      </c>
      <c r="AK276">
        <v>0</v>
      </c>
      <c r="AL276">
        <v>0</v>
      </c>
    </row>
    <row r="277" spans="1:38" x14ac:dyDescent="0.25">
      <c r="A277">
        <v>2025</v>
      </c>
      <c r="B277" t="s">
        <v>288</v>
      </c>
      <c r="C277" t="s">
        <v>68</v>
      </c>
      <c r="D277" t="str" cm="1">
        <f t="array" ref="D277">_xlfn.XLOOKUP(1,('26 WR'!A:A=E277)*('26 WR'!B:B=F277),'26 WR'!C:C)</f>
        <v>Tory Horton</v>
      </c>
      <c r="E277" t="s">
        <v>20</v>
      </c>
      <c r="F277">
        <v>96</v>
      </c>
      <c r="G277">
        <v>234</v>
      </c>
      <c r="H277">
        <v>5.6</v>
      </c>
      <c r="I277">
        <v>4.5999999999999996</v>
      </c>
      <c r="J277">
        <v>5.4</v>
      </c>
      <c r="K277">
        <v>5.2</v>
      </c>
      <c r="L277">
        <v>1.5</v>
      </c>
      <c r="M277">
        <v>3.1</v>
      </c>
      <c r="N277">
        <v>1.3</v>
      </c>
      <c r="O277">
        <v>5.2</v>
      </c>
      <c r="P277">
        <v>3.6</v>
      </c>
      <c r="Q277">
        <v>0</v>
      </c>
      <c r="R277">
        <v>0</v>
      </c>
      <c r="S277">
        <v>0</v>
      </c>
      <c r="T277">
        <v>2.2999999999999998</v>
      </c>
      <c r="U277">
        <v>0</v>
      </c>
      <c r="V277">
        <v>0</v>
      </c>
      <c r="W277">
        <v>0</v>
      </c>
      <c r="X277">
        <v>14.1</v>
      </c>
      <c r="Y277">
        <v>51.9</v>
      </c>
      <c r="Z277">
        <v>3.5</v>
      </c>
      <c r="AA277">
        <v>20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5.8823529411764705E-2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2025</v>
      </c>
      <c r="B278" t="s">
        <v>292</v>
      </c>
      <c r="C278" t="s">
        <v>114</v>
      </c>
      <c r="D278" t="str" cm="1">
        <f t="array" ref="D278">_xlfn.XLOOKUP(1,('26 WR'!A:A=E278)*('26 WR'!B:B=F278),'26 WR'!C:C)</f>
        <v>Malachi Fields</v>
      </c>
      <c r="E278" t="s">
        <v>20</v>
      </c>
      <c r="F278">
        <v>97</v>
      </c>
      <c r="G278">
        <v>238</v>
      </c>
      <c r="H278">
        <v>0</v>
      </c>
      <c r="I278">
        <v>3</v>
      </c>
      <c r="J278">
        <v>1.8</v>
      </c>
      <c r="K278">
        <v>1.6</v>
      </c>
      <c r="L278">
        <v>0</v>
      </c>
      <c r="M278">
        <v>11.5</v>
      </c>
      <c r="N278">
        <v>8.1</v>
      </c>
      <c r="O278">
        <v>1.6</v>
      </c>
      <c r="P278">
        <v>3.1</v>
      </c>
      <c r="Q278">
        <v>0</v>
      </c>
      <c r="R278">
        <v>11.2</v>
      </c>
      <c r="S278">
        <v>2.1</v>
      </c>
      <c r="T278">
        <v>5</v>
      </c>
      <c r="U278">
        <v>3.7</v>
      </c>
      <c r="V278">
        <v>5.3</v>
      </c>
      <c r="W278">
        <v>4.4000000000000004</v>
      </c>
      <c r="X278">
        <v>7.6</v>
      </c>
      <c r="Y278">
        <v>70</v>
      </c>
      <c r="Z278">
        <v>4.4000000000000004</v>
      </c>
      <c r="AA278">
        <v>20</v>
      </c>
      <c r="AB278">
        <v>1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0.11764705882352941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>
        <v>2025</v>
      </c>
      <c r="B279" t="s">
        <v>294</v>
      </c>
      <c r="C279" t="s">
        <v>110</v>
      </c>
      <c r="D279" t="str" cm="1">
        <f t="array" ref="D279">_xlfn.XLOOKUP(1,('26 WR'!A:A=E279)*('26 WR'!B:B=F279),'26 WR'!C:C)</f>
        <v>Marvin Mims Jr.</v>
      </c>
      <c r="E279" t="s">
        <v>20</v>
      </c>
      <c r="F279">
        <v>98</v>
      </c>
      <c r="G279">
        <v>240</v>
      </c>
      <c r="H279">
        <v>0.7</v>
      </c>
      <c r="I279">
        <v>1.5</v>
      </c>
      <c r="J279">
        <v>19.8</v>
      </c>
      <c r="K279">
        <v>1.6</v>
      </c>
      <c r="L279">
        <v>0</v>
      </c>
      <c r="M279">
        <v>9.1</v>
      </c>
      <c r="N279">
        <v>3.1</v>
      </c>
      <c r="O279">
        <v>0.9</v>
      </c>
      <c r="P279">
        <v>0</v>
      </c>
      <c r="Q279">
        <v>8.1</v>
      </c>
      <c r="R279">
        <v>5.7</v>
      </c>
      <c r="S279">
        <v>9.1</v>
      </c>
      <c r="T279">
        <v>7.6</v>
      </c>
      <c r="U279">
        <v>11</v>
      </c>
      <c r="V279">
        <v>14.4</v>
      </c>
      <c r="W279">
        <v>0</v>
      </c>
      <c r="X279">
        <v>27.8</v>
      </c>
      <c r="Y279">
        <v>120.4</v>
      </c>
      <c r="Z279">
        <v>8.5</v>
      </c>
      <c r="AA279">
        <v>12</v>
      </c>
      <c r="AB279">
        <v>1</v>
      </c>
      <c r="AC279">
        <v>4</v>
      </c>
      <c r="AD279">
        <v>2</v>
      </c>
      <c r="AE279">
        <v>1</v>
      </c>
      <c r="AF279">
        <v>1</v>
      </c>
      <c r="AG279">
        <v>0</v>
      </c>
      <c r="AH279">
        <v>0.23529411764705882</v>
      </c>
      <c r="AI279">
        <v>0.13333333333333333</v>
      </c>
      <c r="AJ279">
        <v>6.6666666666666666E-2</v>
      </c>
      <c r="AK279">
        <v>6.6666666666666666E-2</v>
      </c>
      <c r="AL279">
        <v>0</v>
      </c>
    </row>
    <row r="280" spans="1:38" x14ac:dyDescent="0.25">
      <c r="A280">
        <v>2025</v>
      </c>
      <c r="B280" t="s">
        <v>295</v>
      </c>
      <c r="C280" t="s">
        <v>90</v>
      </c>
      <c r="D280" t="str" cm="1">
        <f t="array" ref="D280">_xlfn.XLOOKUP(1,('26 WR'!A:A=E280)*('26 WR'!B:B=F280),'26 WR'!C:C)</f>
        <v>Darius Slayton</v>
      </c>
      <c r="E280" t="s">
        <v>20</v>
      </c>
      <c r="F280">
        <v>99</v>
      </c>
      <c r="G280">
        <v>241</v>
      </c>
      <c r="H280">
        <v>0</v>
      </c>
      <c r="I280">
        <v>1</v>
      </c>
      <c r="J280">
        <v>1.8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0.6</v>
      </c>
      <c r="R280">
        <v>13.5</v>
      </c>
      <c r="S280">
        <v>18.5</v>
      </c>
      <c r="T280">
        <v>5.7</v>
      </c>
      <c r="U280">
        <v>7.4</v>
      </c>
      <c r="V280">
        <v>6.9</v>
      </c>
      <c r="W280">
        <v>1.4</v>
      </c>
      <c r="X280">
        <v>7.1</v>
      </c>
      <c r="Y280">
        <v>66.899999999999991</v>
      </c>
      <c r="Z280">
        <v>4.5</v>
      </c>
      <c r="AA280">
        <v>20</v>
      </c>
      <c r="AB280">
        <v>1</v>
      </c>
      <c r="AC280">
        <v>2</v>
      </c>
      <c r="AD280">
        <v>1</v>
      </c>
      <c r="AE280">
        <v>0</v>
      </c>
      <c r="AF280">
        <v>0</v>
      </c>
      <c r="AG280">
        <v>0</v>
      </c>
      <c r="AH280">
        <v>0.11764705882352941</v>
      </c>
      <c r="AI280">
        <v>6.25E-2</v>
      </c>
      <c r="AJ280">
        <v>0</v>
      </c>
      <c r="AK280">
        <v>0</v>
      </c>
      <c r="AL280">
        <v>0</v>
      </c>
    </row>
    <row r="281" spans="1:38" x14ac:dyDescent="0.25">
      <c r="A281">
        <v>2025</v>
      </c>
      <c r="B281" t="s">
        <v>296</v>
      </c>
      <c r="C281" t="s">
        <v>35</v>
      </c>
      <c r="D281" t="str" cm="1">
        <f t="array" ref="D281">_xlfn.XLOOKUP(1,('26 WR'!A:A=E281)*('26 WR'!B:B=F281),'26 WR'!C:C)</f>
        <v>Chris Brazzell II</v>
      </c>
      <c r="E281" t="s">
        <v>20</v>
      </c>
      <c r="F281">
        <v>100</v>
      </c>
      <c r="G281">
        <v>242</v>
      </c>
      <c r="H281">
        <v>4.7</v>
      </c>
      <c r="I281">
        <v>15.3</v>
      </c>
      <c r="J281">
        <v>8.8000000000000007</v>
      </c>
      <c r="K281">
        <v>6.4</v>
      </c>
      <c r="L281">
        <v>0</v>
      </c>
      <c r="M281">
        <v>0</v>
      </c>
      <c r="N281">
        <v>2.7</v>
      </c>
      <c r="O281">
        <v>0.8</v>
      </c>
      <c r="P281">
        <v>3.3</v>
      </c>
      <c r="Q281">
        <v>0</v>
      </c>
      <c r="R281">
        <v>1</v>
      </c>
      <c r="S281">
        <v>4.2</v>
      </c>
      <c r="T281">
        <v>8.1</v>
      </c>
      <c r="U281">
        <v>5</v>
      </c>
      <c r="V281">
        <v>3.2</v>
      </c>
      <c r="W281">
        <v>4.7</v>
      </c>
      <c r="X281">
        <v>15.6</v>
      </c>
      <c r="Y281">
        <v>83.8</v>
      </c>
      <c r="Z281">
        <v>5.6</v>
      </c>
      <c r="AA281">
        <v>20</v>
      </c>
      <c r="AB281">
        <v>1</v>
      </c>
      <c r="AC281">
        <v>2</v>
      </c>
      <c r="AD281">
        <v>2</v>
      </c>
      <c r="AE281">
        <v>0</v>
      </c>
      <c r="AF281">
        <v>0</v>
      </c>
      <c r="AG281">
        <v>0</v>
      </c>
      <c r="AH281">
        <v>0.11764705882352941</v>
      </c>
      <c r="AI281">
        <v>0.13333333333333333</v>
      </c>
      <c r="AJ281">
        <v>0</v>
      </c>
      <c r="AK281">
        <v>0</v>
      </c>
      <c r="AL281">
        <v>0</v>
      </c>
    </row>
    <row r="282" spans="1:38" x14ac:dyDescent="0.25">
      <c r="A282">
        <v>2025</v>
      </c>
      <c r="B282" t="s">
        <v>297</v>
      </c>
      <c r="C282" t="s">
        <v>132</v>
      </c>
      <c r="D282" t="str" cm="1">
        <f t="array" ref="D282">_xlfn.XLOOKUP(1,('26 WR'!A:A=E282)*('26 WR'!B:B=F282),'26 WR'!C:C)</f>
        <v>Tyquan Thornton</v>
      </c>
      <c r="E282" t="s">
        <v>20</v>
      </c>
      <c r="F282">
        <v>101</v>
      </c>
      <c r="G282">
        <v>243</v>
      </c>
      <c r="H282">
        <v>1.5</v>
      </c>
      <c r="I282">
        <v>2.5</v>
      </c>
      <c r="J282">
        <v>3.6</v>
      </c>
      <c r="K282">
        <v>8.8000000000000007</v>
      </c>
      <c r="L282">
        <v>4.9000000000000004</v>
      </c>
      <c r="M282">
        <v>2.9</v>
      </c>
      <c r="N282">
        <v>0</v>
      </c>
      <c r="O282">
        <v>0</v>
      </c>
      <c r="P282">
        <v>0</v>
      </c>
      <c r="Q282">
        <v>0</v>
      </c>
      <c r="R282">
        <v>0.8</v>
      </c>
      <c r="S282">
        <v>7.8</v>
      </c>
      <c r="T282">
        <v>3.7</v>
      </c>
      <c r="U282">
        <v>0</v>
      </c>
      <c r="V282">
        <v>10.9</v>
      </c>
      <c r="W282">
        <v>2</v>
      </c>
      <c r="X282">
        <v>2.6</v>
      </c>
      <c r="Y282">
        <v>52</v>
      </c>
      <c r="Z282">
        <v>3.4</v>
      </c>
      <c r="AA282">
        <v>20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5.8823529411764705E-2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2025</v>
      </c>
      <c r="B283" t="s">
        <v>299</v>
      </c>
      <c r="C283" t="s">
        <v>80</v>
      </c>
      <c r="D283" t="str" cm="1">
        <f t="array" ref="D283">_xlfn.XLOOKUP(1,('26 WR'!A:A=E283)*('26 WR'!B:B=F283),'26 WR'!C:C)</f>
        <v>Xavier Legette</v>
      </c>
      <c r="E283" t="s">
        <v>20</v>
      </c>
      <c r="F283">
        <v>102</v>
      </c>
      <c r="G283">
        <v>245</v>
      </c>
      <c r="H283">
        <v>2.1</v>
      </c>
      <c r="I283">
        <v>1.2</v>
      </c>
      <c r="J283">
        <v>6.8</v>
      </c>
      <c r="K283">
        <v>3.8</v>
      </c>
      <c r="L283">
        <v>2.6</v>
      </c>
      <c r="M283">
        <v>5.4</v>
      </c>
      <c r="N283">
        <v>9</v>
      </c>
      <c r="O283">
        <v>1</v>
      </c>
      <c r="P283">
        <v>3.9</v>
      </c>
      <c r="Q283">
        <v>5.0999999999999996</v>
      </c>
      <c r="R283">
        <v>2.2999999999999998</v>
      </c>
      <c r="S283">
        <v>0</v>
      </c>
      <c r="T283">
        <v>0</v>
      </c>
      <c r="U283">
        <v>0</v>
      </c>
      <c r="V283">
        <v>6</v>
      </c>
      <c r="W283">
        <v>0</v>
      </c>
      <c r="X283">
        <v>0</v>
      </c>
      <c r="Y283">
        <v>49.199999999999996</v>
      </c>
      <c r="Z283">
        <v>3.3</v>
      </c>
      <c r="AA283">
        <v>20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2025</v>
      </c>
      <c r="B284" t="s">
        <v>300</v>
      </c>
      <c r="C284" t="s">
        <v>78</v>
      </c>
      <c r="D284" t="str" cm="1">
        <f t="array" ref="D284">_xlfn.XLOOKUP(1,('26 WR'!A:A=E284)*('26 WR'!B:B=F284),'26 WR'!C:C)</f>
        <v>Devaughn Vele</v>
      </c>
      <c r="E284" t="s">
        <v>20</v>
      </c>
      <c r="F284">
        <v>103</v>
      </c>
      <c r="G284">
        <v>246</v>
      </c>
      <c r="H284">
        <v>16.3</v>
      </c>
      <c r="I284">
        <v>8.6</v>
      </c>
      <c r="J284">
        <v>4.8</v>
      </c>
      <c r="K284">
        <v>2.8</v>
      </c>
      <c r="L284">
        <v>7.3</v>
      </c>
      <c r="M284">
        <v>26.3</v>
      </c>
      <c r="N284">
        <v>13.5</v>
      </c>
      <c r="O284">
        <v>16.5</v>
      </c>
      <c r="P284">
        <v>0</v>
      </c>
      <c r="Q284">
        <v>0</v>
      </c>
      <c r="R284">
        <v>0</v>
      </c>
      <c r="S284">
        <v>3.5</v>
      </c>
      <c r="T284">
        <v>13.5</v>
      </c>
      <c r="U284">
        <v>0</v>
      </c>
      <c r="V284">
        <v>4</v>
      </c>
      <c r="W284">
        <v>2.6</v>
      </c>
      <c r="X284">
        <v>0</v>
      </c>
      <c r="Y284">
        <v>119.69999999999999</v>
      </c>
      <c r="Z284">
        <v>8.9</v>
      </c>
      <c r="AA284">
        <v>20</v>
      </c>
      <c r="AB284">
        <v>1</v>
      </c>
      <c r="AC284">
        <v>5</v>
      </c>
      <c r="AD284">
        <v>3</v>
      </c>
      <c r="AE284">
        <v>1</v>
      </c>
      <c r="AF284">
        <v>1</v>
      </c>
      <c r="AG284">
        <v>0</v>
      </c>
      <c r="AH284">
        <v>0.29411764705882354</v>
      </c>
      <c r="AI284">
        <v>0.21428571428571427</v>
      </c>
      <c r="AJ284">
        <v>7.1428571428571425E-2</v>
      </c>
      <c r="AK284">
        <v>7.1428571428571425E-2</v>
      </c>
      <c r="AL284">
        <v>0</v>
      </c>
    </row>
    <row r="285" spans="1:38" x14ac:dyDescent="0.25">
      <c r="A285">
        <v>2025</v>
      </c>
      <c r="B285" t="s">
        <v>301</v>
      </c>
      <c r="C285" t="s">
        <v>26</v>
      </c>
      <c r="D285" t="str" cm="1">
        <f t="array" ref="D285">_xlfn.XLOOKUP(1,('26 WR'!A:A=E285)*('26 WR'!B:B=F285),'26 WR'!C:C)</f>
        <v>Mack Hollins</v>
      </c>
      <c r="E285" t="s">
        <v>20</v>
      </c>
      <c r="F285">
        <v>104</v>
      </c>
      <c r="G285">
        <v>247</v>
      </c>
      <c r="H285">
        <v>0</v>
      </c>
      <c r="I285">
        <v>6.2</v>
      </c>
      <c r="J285">
        <v>7.8</v>
      </c>
      <c r="K285">
        <v>2.7</v>
      </c>
      <c r="L285">
        <v>24.2</v>
      </c>
      <c r="M285">
        <v>19.2</v>
      </c>
      <c r="N285">
        <v>3.4</v>
      </c>
      <c r="O285">
        <v>7.4</v>
      </c>
      <c r="P285">
        <v>5.4</v>
      </c>
      <c r="Q285">
        <v>2.9</v>
      </c>
      <c r="R285">
        <v>0</v>
      </c>
      <c r="S285">
        <v>0</v>
      </c>
      <c r="T285">
        <v>0</v>
      </c>
      <c r="U285">
        <v>0</v>
      </c>
      <c r="V285">
        <v>3.7</v>
      </c>
      <c r="W285">
        <v>5.7</v>
      </c>
      <c r="X285">
        <v>3.5</v>
      </c>
      <c r="Y285">
        <v>92.100000000000009</v>
      </c>
      <c r="Z285">
        <v>5.8</v>
      </c>
      <c r="AA285">
        <v>20</v>
      </c>
      <c r="AB285">
        <v>1</v>
      </c>
      <c r="AC285">
        <v>2</v>
      </c>
      <c r="AD285">
        <v>2</v>
      </c>
      <c r="AE285">
        <v>1</v>
      </c>
      <c r="AF285">
        <v>0</v>
      </c>
      <c r="AG285">
        <v>0</v>
      </c>
      <c r="AH285">
        <v>0.11764705882352941</v>
      </c>
      <c r="AI285">
        <v>0.125</v>
      </c>
      <c r="AJ285">
        <v>6.25E-2</v>
      </c>
      <c r="AK285">
        <v>0</v>
      </c>
      <c r="AL285">
        <v>0</v>
      </c>
    </row>
    <row r="286" spans="1:38" x14ac:dyDescent="0.25">
      <c r="A286">
        <v>2025</v>
      </c>
      <c r="B286" t="s">
        <v>303</v>
      </c>
      <c r="C286" t="s">
        <v>57</v>
      </c>
      <c r="D286" t="str" cm="1">
        <f t="array" ref="D286">_xlfn.XLOOKUP(1,('26 WR'!A:A=E286)*('26 WR'!B:B=F286),'26 WR'!C:C)</f>
        <v>Keenan Allen</v>
      </c>
      <c r="E286" t="s">
        <v>20</v>
      </c>
      <c r="F286">
        <v>105</v>
      </c>
      <c r="G286">
        <v>249</v>
      </c>
      <c r="H286">
        <v>6.9</v>
      </c>
      <c r="I286">
        <v>7.4</v>
      </c>
      <c r="J286">
        <v>12</v>
      </c>
      <c r="K286">
        <v>4</v>
      </c>
      <c r="L286">
        <v>11.9</v>
      </c>
      <c r="M286">
        <v>7.1</v>
      </c>
      <c r="N286">
        <v>7.5</v>
      </c>
      <c r="O286">
        <v>1.8</v>
      </c>
      <c r="P286">
        <v>0</v>
      </c>
      <c r="Q286">
        <v>6.1</v>
      </c>
      <c r="R286">
        <v>10.1</v>
      </c>
      <c r="S286">
        <v>4.2</v>
      </c>
      <c r="T286">
        <v>1.5</v>
      </c>
      <c r="U286">
        <v>1.5</v>
      </c>
      <c r="V286">
        <v>0</v>
      </c>
      <c r="W286">
        <v>0</v>
      </c>
      <c r="X286">
        <v>0</v>
      </c>
      <c r="Y286">
        <v>82</v>
      </c>
      <c r="Z286">
        <v>6.3</v>
      </c>
      <c r="AA286">
        <v>20</v>
      </c>
      <c r="AB286">
        <v>1</v>
      </c>
      <c r="AC286">
        <v>3</v>
      </c>
      <c r="AD286">
        <v>0</v>
      </c>
      <c r="AE286">
        <v>0</v>
      </c>
      <c r="AF286">
        <v>0</v>
      </c>
      <c r="AG286">
        <v>0</v>
      </c>
      <c r="AH286">
        <v>0.17647058823529413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2025</v>
      </c>
      <c r="B287" t="s">
        <v>307</v>
      </c>
      <c r="C287" t="s">
        <v>90</v>
      </c>
      <c r="D287" t="str" cm="1">
        <f t="array" ref="D287">_xlfn.XLOOKUP(1,('26 WR'!A:A=E287)*('26 WR'!B:B=F287),'26 WR'!C:C)</f>
        <v>Kyle Williams</v>
      </c>
      <c r="E287" t="s">
        <v>20</v>
      </c>
      <c r="F287">
        <v>106</v>
      </c>
      <c r="G287">
        <v>253</v>
      </c>
      <c r="H287">
        <v>4.0999999999999996</v>
      </c>
      <c r="I287">
        <v>4</v>
      </c>
      <c r="J287">
        <v>0</v>
      </c>
      <c r="K287">
        <v>10.6</v>
      </c>
      <c r="L287">
        <v>0</v>
      </c>
      <c r="M287">
        <v>0</v>
      </c>
      <c r="N287">
        <v>1.8</v>
      </c>
      <c r="O287">
        <v>0</v>
      </c>
      <c r="P287">
        <v>1.7</v>
      </c>
      <c r="Q287">
        <v>0</v>
      </c>
      <c r="R287">
        <v>2</v>
      </c>
      <c r="S287">
        <v>6.2</v>
      </c>
      <c r="T287">
        <v>24.2</v>
      </c>
      <c r="U287">
        <v>3.4</v>
      </c>
      <c r="V287">
        <v>17.399999999999999</v>
      </c>
      <c r="W287">
        <v>7.3</v>
      </c>
      <c r="X287">
        <v>5.2</v>
      </c>
      <c r="Y287">
        <v>87.899999999999991</v>
      </c>
      <c r="Z287">
        <v>5.5</v>
      </c>
      <c r="AA287">
        <v>20</v>
      </c>
      <c r="AB287">
        <v>1</v>
      </c>
      <c r="AC287">
        <v>3</v>
      </c>
      <c r="AD287">
        <v>2</v>
      </c>
      <c r="AE287">
        <v>1</v>
      </c>
      <c r="AF287">
        <v>0</v>
      </c>
      <c r="AG287">
        <v>0</v>
      </c>
      <c r="AH287">
        <v>0.17647058823529413</v>
      </c>
      <c r="AI287">
        <v>0.125</v>
      </c>
      <c r="AJ287">
        <v>6.25E-2</v>
      </c>
      <c r="AK287">
        <v>0</v>
      </c>
      <c r="AL287">
        <v>0</v>
      </c>
    </row>
    <row r="288" spans="1:38" x14ac:dyDescent="0.25">
      <c r="A288">
        <v>2025</v>
      </c>
      <c r="B288" t="s">
        <v>308</v>
      </c>
      <c r="C288" t="s">
        <v>85</v>
      </c>
      <c r="D288" t="str" cm="1">
        <f t="array" ref="D288">_xlfn.XLOOKUP(1,('26 WR'!A:A=E288)*('26 WR'!B:B=F288),'26 WR'!C:C)</f>
        <v>Hollywood Brown</v>
      </c>
      <c r="E288" t="s">
        <v>20</v>
      </c>
      <c r="F288">
        <v>107</v>
      </c>
      <c r="G288">
        <v>254</v>
      </c>
      <c r="H288">
        <v>6.1</v>
      </c>
      <c r="I288">
        <v>13.9</v>
      </c>
      <c r="J288">
        <v>18.100000000000001</v>
      </c>
      <c r="K288">
        <v>8.1</v>
      </c>
      <c r="L288">
        <v>12</v>
      </c>
      <c r="M288">
        <v>0</v>
      </c>
      <c r="N288">
        <v>4.9000000000000004</v>
      </c>
      <c r="O288">
        <v>0</v>
      </c>
      <c r="P288">
        <v>0</v>
      </c>
      <c r="Q288">
        <v>0</v>
      </c>
      <c r="R288">
        <v>7.1</v>
      </c>
      <c r="S288">
        <v>0</v>
      </c>
      <c r="T288">
        <v>0</v>
      </c>
      <c r="U288">
        <v>3.9</v>
      </c>
      <c r="V288">
        <v>6.7</v>
      </c>
      <c r="W288">
        <v>0</v>
      </c>
      <c r="X288">
        <v>0</v>
      </c>
      <c r="Y288">
        <v>80.800000000000011</v>
      </c>
      <c r="Z288">
        <v>5.8</v>
      </c>
      <c r="AA288">
        <v>20</v>
      </c>
      <c r="AB288">
        <v>1</v>
      </c>
      <c r="AC288">
        <v>3</v>
      </c>
      <c r="AD288">
        <v>1</v>
      </c>
      <c r="AE288">
        <v>0</v>
      </c>
      <c r="AF288">
        <v>0</v>
      </c>
      <c r="AG288">
        <v>0</v>
      </c>
      <c r="AH288">
        <v>0.17647058823529413</v>
      </c>
      <c r="AI288">
        <v>7.1428571428571425E-2</v>
      </c>
      <c r="AJ288">
        <v>0</v>
      </c>
      <c r="AK288">
        <v>0</v>
      </c>
      <c r="AL288">
        <v>0</v>
      </c>
    </row>
    <row r="289" spans="1:38" x14ac:dyDescent="0.25">
      <c r="A289">
        <v>2025</v>
      </c>
      <c r="B289" t="s">
        <v>310</v>
      </c>
      <c r="C289" t="s">
        <v>61</v>
      </c>
      <c r="D289" t="str" cm="1">
        <f t="array" ref="D289">_xlfn.XLOOKUP(1,('26 WR'!A:A=E289)*('26 WR'!B:B=F289),'26 WR'!C:C)</f>
        <v>Isaiah Bond</v>
      </c>
      <c r="E289" t="s">
        <v>20</v>
      </c>
      <c r="F289">
        <v>108</v>
      </c>
      <c r="G289">
        <v>256</v>
      </c>
      <c r="H289">
        <v>5</v>
      </c>
      <c r="I289">
        <v>8.4</v>
      </c>
      <c r="J289">
        <v>4.0999999999999996</v>
      </c>
      <c r="K289">
        <v>3.9</v>
      </c>
      <c r="L289">
        <v>0</v>
      </c>
      <c r="M289">
        <v>3.5</v>
      </c>
      <c r="N289">
        <v>1.5</v>
      </c>
      <c r="O289">
        <v>0</v>
      </c>
      <c r="P289">
        <v>0</v>
      </c>
      <c r="Q289">
        <v>7.8</v>
      </c>
      <c r="R289">
        <v>1.9</v>
      </c>
      <c r="S289">
        <v>5.2</v>
      </c>
      <c r="T289">
        <v>28</v>
      </c>
      <c r="U289">
        <v>0</v>
      </c>
      <c r="V289">
        <v>1.6</v>
      </c>
      <c r="W289">
        <v>3.2</v>
      </c>
      <c r="X289">
        <v>1.7</v>
      </c>
      <c r="Y289">
        <v>75.8</v>
      </c>
      <c r="Z289">
        <v>5.4</v>
      </c>
      <c r="AA289">
        <v>20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5.8823529411764705E-2</v>
      </c>
      <c r="AI289">
        <v>7.1428571428571425E-2</v>
      </c>
      <c r="AJ289">
        <v>7.1428571428571425E-2</v>
      </c>
      <c r="AK289">
        <v>7.1428571428571425E-2</v>
      </c>
      <c r="AL289">
        <v>0</v>
      </c>
    </row>
    <row r="290" spans="1:38" x14ac:dyDescent="0.25">
      <c r="A290">
        <v>2025</v>
      </c>
      <c r="B290" t="s">
        <v>315</v>
      </c>
      <c r="C290" t="s">
        <v>45</v>
      </c>
      <c r="D290" t="str" cm="1">
        <f t="array" ref="D290">_xlfn.XLOOKUP(1,('26 WR'!A:A=E290)*('26 WR'!B:B=F290),'26 WR'!C:C)</f>
        <v>Skyler Bell</v>
      </c>
      <c r="E290" t="s">
        <v>20</v>
      </c>
      <c r="F290">
        <v>109</v>
      </c>
      <c r="G290">
        <v>261</v>
      </c>
      <c r="H290">
        <v>0.8</v>
      </c>
      <c r="I290">
        <v>2.1</v>
      </c>
      <c r="J290">
        <v>2.8</v>
      </c>
      <c r="K290">
        <v>7.9</v>
      </c>
      <c r="L290">
        <v>3.2</v>
      </c>
      <c r="M290">
        <v>9.9</v>
      </c>
      <c r="N290">
        <v>2.5</v>
      </c>
      <c r="O290">
        <v>0</v>
      </c>
      <c r="P290">
        <v>0.9</v>
      </c>
      <c r="Q290">
        <v>6.2</v>
      </c>
      <c r="R290">
        <v>18.600000000000001</v>
      </c>
      <c r="S290">
        <v>16.8</v>
      </c>
      <c r="T290">
        <v>3.4</v>
      </c>
      <c r="U290">
        <v>0</v>
      </c>
      <c r="V290">
        <v>0</v>
      </c>
      <c r="W290">
        <v>0</v>
      </c>
      <c r="X290">
        <v>0</v>
      </c>
      <c r="Y290">
        <v>75.100000000000009</v>
      </c>
      <c r="Z290">
        <v>6.3</v>
      </c>
      <c r="AA290">
        <v>20</v>
      </c>
      <c r="AB290">
        <v>1</v>
      </c>
      <c r="AC290">
        <v>2</v>
      </c>
      <c r="AD290">
        <v>2</v>
      </c>
      <c r="AE290">
        <v>0</v>
      </c>
      <c r="AF290">
        <v>0</v>
      </c>
      <c r="AG290">
        <v>0</v>
      </c>
      <c r="AH290">
        <v>0.11764705882352941</v>
      </c>
      <c r="AI290">
        <v>0.16666666666666666</v>
      </c>
      <c r="AJ290">
        <v>0</v>
      </c>
      <c r="AK290">
        <v>0</v>
      </c>
      <c r="AL290">
        <v>0</v>
      </c>
    </row>
    <row r="291" spans="1:38" x14ac:dyDescent="0.25">
      <c r="A291">
        <v>2025</v>
      </c>
      <c r="B291" t="s">
        <v>317</v>
      </c>
      <c r="C291" t="s">
        <v>29</v>
      </c>
      <c r="D291" t="str" cm="1">
        <f t="array" ref="D291">_xlfn.XLOOKUP(1,('26 WR'!A:A=E291)*('26 WR'!B:B=F291),'26 WR'!C:C)</f>
        <v>Ja'Kobi Lane</v>
      </c>
      <c r="E291" t="s">
        <v>20</v>
      </c>
      <c r="F291">
        <v>110</v>
      </c>
      <c r="G291">
        <v>263</v>
      </c>
      <c r="H291">
        <v>13.4</v>
      </c>
      <c r="I291">
        <v>4.9000000000000004</v>
      </c>
      <c r="J291">
        <v>40.9</v>
      </c>
      <c r="K291">
        <v>4.2</v>
      </c>
      <c r="L291">
        <v>11.1</v>
      </c>
      <c r="M291">
        <v>12</v>
      </c>
      <c r="N291">
        <v>8.3000000000000007</v>
      </c>
      <c r="O291">
        <v>0</v>
      </c>
      <c r="P291">
        <v>6.8</v>
      </c>
      <c r="Q291">
        <v>5.5</v>
      </c>
      <c r="R291">
        <v>14.7</v>
      </c>
      <c r="S291">
        <v>5.8</v>
      </c>
      <c r="T291">
        <v>5</v>
      </c>
      <c r="U291">
        <v>4.4000000000000004</v>
      </c>
      <c r="V291">
        <v>0</v>
      </c>
      <c r="W291">
        <v>9.4</v>
      </c>
      <c r="X291">
        <v>9.9</v>
      </c>
      <c r="Y291">
        <v>156.30000000000001</v>
      </c>
      <c r="Z291">
        <v>9.5</v>
      </c>
      <c r="AA291">
        <v>20</v>
      </c>
      <c r="AB291">
        <v>1</v>
      </c>
      <c r="AC291">
        <v>5</v>
      </c>
      <c r="AD291">
        <v>1</v>
      </c>
      <c r="AE291">
        <v>1</v>
      </c>
      <c r="AF291">
        <v>1</v>
      </c>
      <c r="AG291">
        <v>1</v>
      </c>
      <c r="AH291">
        <v>0.29411764705882354</v>
      </c>
      <c r="AI291">
        <v>5.8823529411764705E-2</v>
      </c>
      <c r="AJ291">
        <v>5.8823529411764705E-2</v>
      </c>
      <c r="AK291">
        <v>5.8823529411764705E-2</v>
      </c>
      <c r="AL291">
        <v>5.8823529411764705E-2</v>
      </c>
    </row>
    <row r="292" spans="1:38" x14ac:dyDescent="0.25">
      <c r="A292">
        <v>2025</v>
      </c>
      <c r="B292" t="s">
        <v>319</v>
      </c>
      <c r="C292" t="s">
        <v>35</v>
      </c>
      <c r="D292" t="str" cm="1">
        <f t="array" ref="D292">_xlfn.XLOOKUP(1,('26 WR'!A:A=E292)*('26 WR'!B:B=F292),'26 WR'!C:C)</f>
        <v>Andrei Iosivas</v>
      </c>
      <c r="E292" t="s">
        <v>20</v>
      </c>
      <c r="F292">
        <v>111</v>
      </c>
      <c r="G292">
        <v>265</v>
      </c>
      <c r="H292">
        <v>0</v>
      </c>
      <c r="I292">
        <v>0</v>
      </c>
      <c r="J292">
        <v>4.0999999999999996</v>
      </c>
      <c r="K292">
        <v>4.5999999999999996</v>
      </c>
      <c r="L292">
        <v>18.399999999999999</v>
      </c>
      <c r="M292">
        <v>6.3</v>
      </c>
      <c r="N292">
        <v>0</v>
      </c>
      <c r="O292">
        <v>1.7</v>
      </c>
      <c r="P292">
        <v>9.1999999999999993</v>
      </c>
      <c r="Q292">
        <v>0</v>
      </c>
      <c r="R292">
        <v>7.2</v>
      </c>
      <c r="S292">
        <v>0</v>
      </c>
      <c r="T292">
        <v>6.4</v>
      </c>
      <c r="U292">
        <v>26.5</v>
      </c>
      <c r="V292">
        <v>8</v>
      </c>
      <c r="W292">
        <v>9.8000000000000007</v>
      </c>
      <c r="X292">
        <v>0</v>
      </c>
      <c r="Y292">
        <v>102.2</v>
      </c>
      <c r="Z292">
        <v>7.6</v>
      </c>
      <c r="AA292">
        <v>20</v>
      </c>
      <c r="AB292">
        <v>1</v>
      </c>
      <c r="AC292">
        <v>3</v>
      </c>
      <c r="AD292">
        <v>2</v>
      </c>
      <c r="AE292">
        <v>1</v>
      </c>
      <c r="AF292">
        <v>1</v>
      </c>
      <c r="AG292">
        <v>0</v>
      </c>
      <c r="AH292">
        <v>0.17647058823529413</v>
      </c>
      <c r="AI292">
        <v>0.13333333333333333</v>
      </c>
      <c r="AJ292">
        <v>6.6666666666666666E-2</v>
      </c>
      <c r="AK292">
        <v>6.6666666666666666E-2</v>
      </c>
      <c r="AL292">
        <v>0</v>
      </c>
    </row>
    <row r="293" spans="1:38" x14ac:dyDescent="0.25">
      <c r="A293">
        <v>2025</v>
      </c>
      <c r="B293" t="s">
        <v>327</v>
      </c>
      <c r="C293" t="s">
        <v>96</v>
      </c>
      <c r="D293" t="str" cm="1">
        <f t="array" ref="D293">_xlfn.XLOOKUP(1,('26 WR'!A:A=E293)*('26 WR'!B:B=F293),'26 WR'!C:C)</f>
        <v>Cedric Tillman</v>
      </c>
      <c r="E293" t="s">
        <v>20</v>
      </c>
      <c r="F293">
        <v>112</v>
      </c>
      <c r="G293">
        <v>273</v>
      </c>
      <c r="H293">
        <v>2.2999999999999998</v>
      </c>
      <c r="I293">
        <v>7.3</v>
      </c>
      <c r="J293">
        <v>0</v>
      </c>
      <c r="K293">
        <v>0</v>
      </c>
      <c r="L293">
        <v>3.3</v>
      </c>
      <c r="M293">
        <v>0</v>
      </c>
      <c r="N293">
        <v>0</v>
      </c>
      <c r="O293">
        <v>2</v>
      </c>
      <c r="P293">
        <v>0</v>
      </c>
      <c r="Q293">
        <v>2.5</v>
      </c>
      <c r="R293">
        <v>0</v>
      </c>
      <c r="S293">
        <v>6.7</v>
      </c>
      <c r="T293">
        <v>23.3</v>
      </c>
      <c r="U293">
        <v>7</v>
      </c>
      <c r="V293">
        <v>11.9</v>
      </c>
      <c r="W293">
        <v>0</v>
      </c>
      <c r="X293">
        <v>0</v>
      </c>
      <c r="Y293">
        <v>66.3</v>
      </c>
      <c r="Z293">
        <v>5.0999999999999996</v>
      </c>
      <c r="AA293">
        <v>20</v>
      </c>
      <c r="AB293">
        <v>1</v>
      </c>
      <c r="AC293">
        <v>2</v>
      </c>
      <c r="AD293">
        <v>1</v>
      </c>
      <c r="AE293">
        <v>1</v>
      </c>
      <c r="AF293">
        <v>0</v>
      </c>
      <c r="AG293">
        <v>0</v>
      </c>
      <c r="AH293">
        <v>0.11764705882352941</v>
      </c>
      <c r="AI293">
        <v>7.6923076923076927E-2</v>
      </c>
      <c r="AJ293">
        <v>7.6923076923076927E-2</v>
      </c>
      <c r="AK293">
        <v>0</v>
      </c>
      <c r="AL293">
        <v>0</v>
      </c>
    </row>
    <row r="294" spans="1:38" x14ac:dyDescent="0.25">
      <c r="A294">
        <v>2025</v>
      </c>
      <c r="B294" t="s">
        <v>329</v>
      </c>
      <c r="C294" t="s">
        <v>39</v>
      </c>
      <c r="D294" t="str" cm="1">
        <f t="array" ref="D294">_xlfn.XLOOKUP(1,('26 WR'!A:A=E294)*('26 WR'!B:B=F294),'26 WR'!C:C)</f>
        <v>Jalen Royals</v>
      </c>
      <c r="E294" t="s">
        <v>20</v>
      </c>
      <c r="F294">
        <v>113</v>
      </c>
      <c r="G294">
        <v>275</v>
      </c>
      <c r="H294">
        <v>1.7</v>
      </c>
      <c r="I294">
        <v>0</v>
      </c>
      <c r="J294">
        <v>1.4</v>
      </c>
      <c r="K294">
        <v>1</v>
      </c>
      <c r="L294">
        <v>9.8000000000000007</v>
      </c>
      <c r="M294">
        <v>0</v>
      </c>
      <c r="N294">
        <v>11.7</v>
      </c>
      <c r="O294">
        <v>11.3</v>
      </c>
      <c r="P294">
        <v>0.3</v>
      </c>
      <c r="Q294">
        <v>7.5</v>
      </c>
      <c r="R294">
        <v>2.2000000000000002</v>
      </c>
      <c r="S294">
        <v>1.9</v>
      </c>
      <c r="T294">
        <v>0</v>
      </c>
      <c r="U294">
        <v>3.3</v>
      </c>
      <c r="V294">
        <v>0</v>
      </c>
      <c r="W294">
        <v>0</v>
      </c>
      <c r="X294">
        <v>14.6</v>
      </c>
      <c r="Y294">
        <v>66.7</v>
      </c>
      <c r="Z294">
        <v>4</v>
      </c>
      <c r="AA294">
        <v>20</v>
      </c>
      <c r="AB294">
        <v>1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0.17647058823529413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2025</v>
      </c>
      <c r="B295" t="s">
        <v>340</v>
      </c>
      <c r="C295" t="s">
        <v>24</v>
      </c>
      <c r="D295" t="str" cm="1">
        <f t="array" ref="D295">_xlfn.XLOOKUP(1,('26 WR'!A:A=E295)*('26 WR'!B:B=F295),'26 WR'!C:C)</f>
        <v>Tez Johnson</v>
      </c>
      <c r="E295" t="s">
        <v>20</v>
      </c>
      <c r="F295">
        <v>114</v>
      </c>
      <c r="G295">
        <v>286</v>
      </c>
      <c r="H295">
        <v>0</v>
      </c>
      <c r="I295">
        <v>0</v>
      </c>
      <c r="J295">
        <v>1.9</v>
      </c>
      <c r="K295">
        <v>0</v>
      </c>
      <c r="L295">
        <v>0</v>
      </c>
      <c r="M295">
        <v>0</v>
      </c>
      <c r="N295">
        <v>0</v>
      </c>
      <c r="O295">
        <v>3.4</v>
      </c>
      <c r="P295">
        <v>0</v>
      </c>
      <c r="Q295">
        <v>0</v>
      </c>
      <c r="R295">
        <v>2.1</v>
      </c>
      <c r="S295">
        <v>9.6</v>
      </c>
      <c r="T295">
        <v>9.5</v>
      </c>
      <c r="U295">
        <v>0</v>
      </c>
      <c r="V295">
        <v>13.8</v>
      </c>
      <c r="W295">
        <v>0</v>
      </c>
      <c r="X295">
        <v>6.7</v>
      </c>
      <c r="Y295">
        <v>47</v>
      </c>
      <c r="Z295">
        <v>2.9</v>
      </c>
      <c r="AA295">
        <v>20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5.8823529411764705E-2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2025</v>
      </c>
      <c r="B296" t="s">
        <v>342</v>
      </c>
      <c r="C296" t="s">
        <v>26</v>
      </c>
      <c r="D296" t="str" cm="1">
        <f t="array" ref="D296">_xlfn.XLOOKUP(1,('26 WR'!A:A=E296)*('26 WR'!B:B=F296),'26 WR'!C:C)</f>
        <v>Luke McCaffrey</v>
      </c>
      <c r="E296" t="s">
        <v>20</v>
      </c>
      <c r="F296">
        <v>115</v>
      </c>
      <c r="G296">
        <v>288</v>
      </c>
      <c r="H296">
        <v>0</v>
      </c>
      <c r="I296">
        <v>0</v>
      </c>
      <c r="J296">
        <v>0</v>
      </c>
      <c r="K296">
        <v>3</v>
      </c>
      <c r="L296">
        <v>6.9</v>
      </c>
      <c r="M296">
        <v>6.4</v>
      </c>
      <c r="N296">
        <v>0</v>
      </c>
      <c r="O296">
        <v>4.5</v>
      </c>
      <c r="P296">
        <v>0</v>
      </c>
      <c r="Q296">
        <v>6.4</v>
      </c>
      <c r="R296">
        <v>2.2999999999999998</v>
      </c>
      <c r="S296">
        <v>1.8</v>
      </c>
      <c r="T296">
        <v>0.6</v>
      </c>
      <c r="U296">
        <v>0</v>
      </c>
      <c r="V296">
        <v>5.6</v>
      </c>
      <c r="W296">
        <v>10.3</v>
      </c>
      <c r="X296">
        <v>5</v>
      </c>
      <c r="Y296">
        <v>52.800000000000011</v>
      </c>
      <c r="Z296">
        <v>4.2</v>
      </c>
      <c r="AA296">
        <v>20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5.8823529411764705E-2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2025</v>
      </c>
      <c r="B297" t="s">
        <v>347</v>
      </c>
      <c r="C297" t="s">
        <v>114</v>
      </c>
      <c r="D297" t="str" cm="1">
        <f t="array" ref="D297">_xlfn.XLOOKUP(1,('26 WR'!A:A=E297)*('26 WR'!B:B=F297),'26 WR'!C:C)</f>
        <v>Calvin Austin III</v>
      </c>
      <c r="E297" t="s">
        <v>20</v>
      </c>
      <c r="F297">
        <v>116</v>
      </c>
      <c r="G297">
        <v>293</v>
      </c>
      <c r="H297">
        <v>0.9</v>
      </c>
      <c r="I297">
        <v>2.8</v>
      </c>
      <c r="J297">
        <v>3.5</v>
      </c>
      <c r="K297">
        <v>0.4</v>
      </c>
      <c r="L297">
        <v>3.7</v>
      </c>
      <c r="M297">
        <v>2.8</v>
      </c>
      <c r="N297">
        <v>16.899999999999999</v>
      </c>
      <c r="O297">
        <v>16.399999999999999</v>
      </c>
      <c r="P297">
        <v>7.5</v>
      </c>
      <c r="Q297">
        <v>0</v>
      </c>
      <c r="R297">
        <v>3.4</v>
      </c>
      <c r="S297">
        <v>21.4</v>
      </c>
      <c r="T297">
        <v>0.1</v>
      </c>
      <c r="U297">
        <v>13.4</v>
      </c>
      <c r="V297">
        <v>5</v>
      </c>
      <c r="W297">
        <v>13</v>
      </c>
      <c r="X297">
        <v>10.199999999999999</v>
      </c>
      <c r="Y297">
        <v>121.39999999999999</v>
      </c>
      <c r="Z297">
        <v>7.4</v>
      </c>
      <c r="AA297">
        <v>20</v>
      </c>
      <c r="AB297">
        <v>1</v>
      </c>
      <c r="AC297">
        <v>6</v>
      </c>
      <c r="AD297">
        <v>3</v>
      </c>
      <c r="AE297">
        <v>1</v>
      </c>
      <c r="AF297">
        <v>0</v>
      </c>
      <c r="AG297">
        <v>0</v>
      </c>
      <c r="AH297">
        <v>0.35294117647058826</v>
      </c>
      <c r="AI297">
        <v>0.17647058823529413</v>
      </c>
      <c r="AJ297">
        <v>5.8823529411764705E-2</v>
      </c>
      <c r="AK297">
        <v>0</v>
      </c>
      <c r="AL297">
        <v>0</v>
      </c>
    </row>
    <row r="298" spans="1:38" x14ac:dyDescent="0.25">
      <c r="A298">
        <v>2025</v>
      </c>
      <c r="B298" t="s">
        <v>348</v>
      </c>
      <c r="C298" t="s">
        <v>61</v>
      </c>
      <c r="D298" t="str" cm="1">
        <f t="array" ref="D298">_xlfn.XLOOKUP(1,('26 WR'!A:A=E298)*('26 WR'!B:B=F298),'26 WR'!C:C)</f>
        <v>Konata Mumpfield</v>
      </c>
      <c r="E298" t="s">
        <v>20</v>
      </c>
      <c r="F298">
        <v>117</v>
      </c>
      <c r="G298">
        <v>294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12.5</v>
      </c>
      <c r="P298">
        <v>7.8</v>
      </c>
      <c r="Q298">
        <v>6.5</v>
      </c>
      <c r="R298">
        <v>20.6</v>
      </c>
      <c r="S298">
        <v>9.9</v>
      </c>
      <c r="T298">
        <v>18.3</v>
      </c>
      <c r="U298">
        <v>24.9</v>
      </c>
      <c r="V298">
        <v>5.9</v>
      </c>
      <c r="W298">
        <v>3.7</v>
      </c>
      <c r="X298">
        <v>22.3</v>
      </c>
      <c r="Y298">
        <v>132.4</v>
      </c>
      <c r="Z298">
        <v>13.2</v>
      </c>
      <c r="AA298">
        <v>20</v>
      </c>
      <c r="AB298">
        <v>1</v>
      </c>
      <c r="AC298">
        <v>5</v>
      </c>
      <c r="AD298">
        <v>4</v>
      </c>
      <c r="AE298">
        <v>3</v>
      </c>
      <c r="AF298">
        <v>0</v>
      </c>
      <c r="AG298">
        <v>0</v>
      </c>
      <c r="AH298">
        <v>0.29411764705882354</v>
      </c>
      <c r="AI298">
        <v>0.4</v>
      </c>
      <c r="AJ298">
        <v>0.3</v>
      </c>
      <c r="AK298">
        <v>0</v>
      </c>
      <c r="AL298">
        <v>0</v>
      </c>
    </row>
    <row r="299" spans="1:38" x14ac:dyDescent="0.25">
      <c r="A299">
        <v>2025</v>
      </c>
      <c r="B299" t="s">
        <v>349</v>
      </c>
      <c r="C299" t="s">
        <v>51</v>
      </c>
      <c r="D299" t="str" cm="1">
        <f t="array" ref="D299">_xlfn.XLOOKUP(1,('26 WR'!A:A=E299)*('26 WR'!B:B=F299),'26 WR'!C:C)</f>
        <v>Olamide Zaccheaus</v>
      </c>
      <c r="E299" t="s">
        <v>20</v>
      </c>
      <c r="F299">
        <v>118</v>
      </c>
      <c r="G299">
        <v>295</v>
      </c>
      <c r="H299">
        <v>0</v>
      </c>
      <c r="I299">
        <v>12.6</v>
      </c>
      <c r="J299">
        <v>7.4</v>
      </c>
      <c r="K299">
        <v>5.9</v>
      </c>
      <c r="L299">
        <v>9.6</v>
      </c>
      <c r="M299">
        <v>4.9000000000000004</v>
      </c>
      <c r="N299">
        <v>10.199999999999999</v>
      </c>
      <c r="O299">
        <v>0</v>
      </c>
      <c r="P299">
        <v>17</v>
      </c>
      <c r="Q299">
        <v>17.899999999999999</v>
      </c>
      <c r="R299">
        <v>4</v>
      </c>
      <c r="S299">
        <v>18.100000000000001</v>
      </c>
      <c r="T299">
        <v>3.6</v>
      </c>
      <c r="U299">
        <v>0</v>
      </c>
      <c r="V299">
        <v>8.3000000000000007</v>
      </c>
      <c r="W299">
        <v>26.5</v>
      </c>
      <c r="X299">
        <v>19</v>
      </c>
      <c r="Y299">
        <v>165</v>
      </c>
      <c r="Z299">
        <v>11.5</v>
      </c>
      <c r="AA299">
        <v>20</v>
      </c>
      <c r="AB299">
        <v>1</v>
      </c>
      <c r="AC299">
        <v>8</v>
      </c>
      <c r="AD299">
        <v>6</v>
      </c>
      <c r="AE299">
        <v>1</v>
      </c>
      <c r="AF299">
        <v>1</v>
      </c>
      <c r="AG299">
        <v>0</v>
      </c>
      <c r="AH299">
        <v>0.47058823529411764</v>
      </c>
      <c r="AI299">
        <v>0.375</v>
      </c>
      <c r="AJ299">
        <v>6.25E-2</v>
      </c>
      <c r="AK299">
        <v>6.25E-2</v>
      </c>
      <c r="AL299">
        <v>0</v>
      </c>
    </row>
    <row r="300" spans="1:38" x14ac:dyDescent="0.25">
      <c r="A300">
        <v>2025</v>
      </c>
      <c r="B300" t="s">
        <v>353</v>
      </c>
      <c r="C300" t="s">
        <v>90</v>
      </c>
      <c r="D300" t="str" cm="1">
        <f t="array" ref="D300">_xlfn.XLOOKUP(1,('26 WR'!A:A=E300)*('26 WR'!B:B=F300),'26 WR'!C:C)</f>
        <v>Jahan Dotson</v>
      </c>
      <c r="E300" t="s">
        <v>20</v>
      </c>
      <c r="F300">
        <v>119</v>
      </c>
      <c r="G300">
        <v>299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8.6</v>
      </c>
      <c r="P300">
        <v>0</v>
      </c>
      <c r="Q300">
        <v>7.4</v>
      </c>
      <c r="R300">
        <v>1.6</v>
      </c>
      <c r="S300">
        <v>0</v>
      </c>
      <c r="T300">
        <v>0</v>
      </c>
      <c r="U300">
        <v>10.4</v>
      </c>
      <c r="V300">
        <v>11.3</v>
      </c>
      <c r="W300">
        <v>6.5</v>
      </c>
      <c r="X300">
        <v>7.5</v>
      </c>
      <c r="Y300">
        <v>55.3</v>
      </c>
      <c r="Z300">
        <v>3.9</v>
      </c>
      <c r="AA300">
        <v>20</v>
      </c>
      <c r="AB300">
        <v>1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0.11764705882352941</v>
      </c>
      <c r="AI300">
        <v>0</v>
      </c>
      <c r="AJ300">
        <v>0</v>
      </c>
      <c r="AK300">
        <v>0</v>
      </c>
      <c r="AL300">
        <v>0</v>
      </c>
    </row>
  </sheetData>
  <sortState xmlns:xlrd2="http://schemas.microsoft.com/office/spreadsheetml/2017/richdata2" ref="A2:AL300">
    <sortCondition ref="E1:E3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2C8F-925C-4579-94C3-F60A8C62339B}">
  <sheetPr codeName="Sheet3"/>
  <dimension ref="A1:AL319"/>
  <sheetViews>
    <sheetView tabSelected="1" workbookViewId="0">
      <selection activeCell="C1" sqref="C1:C1048576"/>
    </sheetView>
  </sheetViews>
  <sheetFormatPr defaultRowHeight="15" x14ac:dyDescent="0.25"/>
  <cols>
    <col min="2" max="2" width="15.42578125" customWidth="1"/>
    <col min="4" max="4" width="15" customWidth="1"/>
  </cols>
  <sheetData>
    <row r="1" spans="1:38" x14ac:dyDescent="0.25">
      <c r="A1" t="s">
        <v>0</v>
      </c>
      <c r="B1" t="s">
        <v>355</v>
      </c>
      <c r="C1" t="s">
        <v>3</v>
      </c>
      <c r="D1" t="s">
        <v>1</v>
      </c>
      <c r="E1" t="s">
        <v>2</v>
      </c>
      <c r="F1" t="s">
        <v>354</v>
      </c>
      <c r="G1" t="s">
        <v>4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  <c r="AG1" t="s">
        <v>13</v>
      </c>
      <c r="AH1" t="s">
        <v>14</v>
      </c>
      <c r="AI1" t="s">
        <v>15</v>
      </c>
      <c r="AJ1" t="s">
        <v>16</v>
      </c>
      <c r="AK1" t="s">
        <v>17</v>
      </c>
      <c r="AL1" t="s">
        <v>18</v>
      </c>
    </row>
    <row r="2" spans="1:38" x14ac:dyDescent="0.25">
      <c r="A2">
        <v>2025</v>
      </c>
      <c r="B2" t="s">
        <v>66</v>
      </c>
      <c r="C2" t="s">
        <v>68</v>
      </c>
      <c r="D2" t="str" cm="1">
        <f t="array" ref="D2">_xlfn.XLOOKUP(1,('26 WR'!A:A=E2)*('26 WR'!B:B=F2),'26 WR'!C:C)</f>
        <v>Josh Allen</v>
      </c>
      <c r="E2" t="s">
        <v>67</v>
      </c>
      <c r="F2">
        <v>1</v>
      </c>
      <c r="G2">
        <v>2</v>
      </c>
      <c r="H2">
        <v>38.799999999999997</v>
      </c>
      <c r="I2">
        <v>11.8</v>
      </c>
      <c r="J2">
        <v>23</v>
      </c>
      <c r="K2">
        <v>25.9</v>
      </c>
      <c r="L2">
        <v>20.399999999999999</v>
      </c>
      <c r="M2">
        <v>17.399999999999999</v>
      </c>
      <c r="N2">
        <v>0</v>
      </c>
      <c r="O2">
        <v>23.2</v>
      </c>
      <c r="P2">
        <v>28.8</v>
      </c>
      <c r="Q2">
        <v>20.3</v>
      </c>
      <c r="R2">
        <v>44.7</v>
      </c>
      <c r="S2">
        <v>10.1</v>
      </c>
      <c r="T2">
        <v>17.7</v>
      </c>
      <c r="U2">
        <v>37.799999999999997</v>
      </c>
      <c r="V2">
        <v>24.5</v>
      </c>
      <c r="W2">
        <v>6.9</v>
      </c>
      <c r="X2">
        <v>23.2</v>
      </c>
      <c r="Y2">
        <f t="shared" ref="Y2:Y65" si="0">SUM(H2:X2)</f>
        <v>374.5</v>
      </c>
      <c r="Z2">
        <v>22</v>
      </c>
      <c r="AA2">
        <v>1</v>
      </c>
      <c r="AB2">
        <v>1</v>
      </c>
      <c r="AC2">
        <v>15</v>
      </c>
      <c r="AD2">
        <v>13</v>
      </c>
      <c r="AE2">
        <v>11</v>
      </c>
      <c r="AF2">
        <v>5</v>
      </c>
      <c r="AG2">
        <v>3</v>
      </c>
      <c r="AH2">
        <v>0.88235294117647056</v>
      </c>
      <c r="AI2">
        <v>0.76470588235294112</v>
      </c>
      <c r="AJ2">
        <v>0.6470588235294118</v>
      </c>
      <c r="AK2">
        <v>0.29411764705882354</v>
      </c>
      <c r="AL2">
        <v>0.17647058823529413</v>
      </c>
    </row>
    <row r="3" spans="1:38" x14ac:dyDescent="0.25">
      <c r="A3">
        <v>2025</v>
      </c>
      <c r="B3" t="s">
        <v>70</v>
      </c>
      <c r="C3" t="s">
        <v>41</v>
      </c>
      <c r="D3" t="str" cm="1">
        <f t="array" ref="D3">_xlfn.XLOOKUP(1,('26 WR'!A:A=E3)*('26 WR'!B:B=F3),'26 WR'!C:C)</f>
        <v>Lamar Jackson</v>
      </c>
      <c r="E3" t="s">
        <v>67</v>
      </c>
      <c r="F3">
        <v>2</v>
      </c>
      <c r="G3">
        <v>5</v>
      </c>
      <c r="H3">
        <v>29.4</v>
      </c>
      <c r="I3">
        <v>26.3</v>
      </c>
      <c r="J3">
        <v>27</v>
      </c>
      <c r="K3">
        <v>11.7</v>
      </c>
      <c r="L3">
        <v>0</v>
      </c>
      <c r="M3">
        <v>0</v>
      </c>
      <c r="N3">
        <v>0</v>
      </c>
      <c r="O3">
        <v>0</v>
      </c>
      <c r="P3">
        <v>25.6</v>
      </c>
      <c r="Q3">
        <v>16.600000000000001</v>
      </c>
      <c r="R3">
        <v>6.7</v>
      </c>
      <c r="S3">
        <v>7.2</v>
      </c>
      <c r="T3">
        <v>7.5</v>
      </c>
      <c r="U3">
        <v>22.1</v>
      </c>
      <c r="V3">
        <v>15.6</v>
      </c>
      <c r="W3">
        <v>4.7</v>
      </c>
      <c r="X3">
        <v>0</v>
      </c>
      <c r="Y3">
        <f t="shared" si="0"/>
        <v>200.39999999999995</v>
      </c>
      <c r="Z3">
        <v>17.100000000000001</v>
      </c>
      <c r="AA3">
        <v>20</v>
      </c>
      <c r="AB3">
        <v>1</v>
      </c>
      <c r="AC3">
        <v>9</v>
      </c>
      <c r="AD3">
        <v>8</v>
      </c>
      <c r="AE3">
        <v>6</v>
      </c>
      <c r="AF3">
        <v>4</v>
      </c>
      <c r="AG3">
        <v>0</v>
      </c>
      <c r="AH3">
        <v>0.52941176470588236</v>
      </c>
      <c r="AI3">
        <v>0.61538461538461542</v>
      </c>
      <c r="AJ3">
        <v>0.46153846153846156</v>
      </c>
      <c r="AK3">
        <v>0.30769230769230771</v>
      </c>
      <c r="AL3">
        <v>0</v>
      </c>
    </row>
    <row r="4" spans="1:38" x14ac:dyDescent="0.25">
      <c r="A4">
        <v>2025</v>
      </c>
      <c r="B4" t="s">
        <v>79</v>
      </c>
      <c r="C4" t="s">
        <v>80</v>
      </c>
      <c r="D4" t="str" cm="1">
        <f t="array" ref="D4">_xlfn.XLOOKUP(1,('26 WR'!A:A=E4)*('26 WR'!B:B=F4),'26 WR'!C:C)</f>
        <v>Drake Maye</v>
      </c>
      <c r="E4" t="s">
        <v>67</v>
      </c>
      <c r="F4">
        <v>3</v>
      </c>
      <c r="G4">
        <v>11</v>
      </c>
      <c r="H4">
        <v>20.100000000000001</v>
      </c>
      <c r="I4">
        <v>19.7</v>
      </c>
      <c r="J4">
        <v>0</v>
      </c>
      <c r="K4">
        <v>0</v>
      </c>
      <c r="L4">
        <v>17.100000000000001</v>
      </c>
      <c r="M4">
        <v>22.6</v>
      </c>
      <c r="N4">
        <v>17.7</v>
      </c>
      <c r="O4">
        <v>0</v>
      </c>
      <c r="P4">
        <v>16.2</v>
      </c>
      <c r="Q4">
        <v>0</v>
      </c>
      <c r="R4">
        <v>0</v>
      </c>
      <c r="S4">
        <v>0</v>
      </c>
      <c r="T4">
        <v>0</v>
      </c>
      <c r="U4">
        <v>3.7</v>
      </c>
      <c r="V4">
        <v>0</v>
      </c>
      <c r="W4">
        <v>0</v>
      </c>
      <c r="X4">
        <v>0</v>
      </c>
      <c r="Y4">
        <f t="shared" si="0"/>
        <v>117.10000000000001</v>
      </c>
      <c r="Z4">
        <v>16.8</v>
      </c>
      <c r="AA4">
        <v>34</v>
      </c>
      <c r="AB4">
        <v>1</v>
      </c>
      <c r="AC4">
        <v>6</v>
      </c>
      <c r="AD4">
        <v>6</v>
      </c>
      <c r="AE4">
        <v>2</v>
      </c>
      <c r="AF4">
        <v>0</v>
      </c>
      <c r="AG4">
        <v>0</v>
      </c>
      <c r="AH4">
        <v>0.35294117647058826</v>
      </c>
      <c r="AI4">
        <v>0.8571428571428571</v>
      </c>
      <c r="AJ4">
        <v>0.2857142857142857</v>
      </c>
      <c r="AK4">
        <v>0</v>
      </c>
      <c r="AL4">
        <v>0</v>
      </c>
    </row>
    <row r="5" spans="1:38" x14ac:dyDescent="0.25">
      <c r="A5">
        <v>2025</v>
      </c>
      <c r="B5" t="s">
        <v>88</v>
      </c>
      <c r="C5" t="s">
        <v>33</v>
      </c>
      <c r="D5" t="str" cm="1">
        <f t="array" ref="D5">_xlfn.XLOOKUP(1,('26 WR'!A:A=E5)*('26 WR'!B:B=F5),'26 WR'!C:C)</f>
        <v>Joe Burrow</v>
      </c>
      <c r="E5" t="s">
        <v>67</v>
      </c>
      <c r="F5">
        <v>4</v>
      </c>
      <c r="G5">
        <v>14</v>
      </c>
      <c r="H5">
        <v>24.3</v>
      </c>
      <c r="I5">
        <v>11.5</v>
      </c>
      <c r="J5">
        <v>29</v>
      </c>
      <c r="K5">
        <v>19.399999999999999</v>
      </c>
      <c r="L5">
        <v>19.5</v>
      </c>
      <c r="M5">
        <v>21.6</v>
      </c>
      <c r="N5">
        <v>24</v>
      </c>
      <c r="O5">
        <v>25.4</v>
      </c>
      <c r="P5">
        <v>0</v>
      </c>
      <c r="Q5">
        <v>12</v>
      </c>
      <c r="R5">
        <v>14.5</v>
      </c>
      <c r="S5">
        <v>30.9</v>
      </c>
      <c r="T5">
        <v>17.3</v>
      </c>
      <c r="U5">
        <v>4.4000000000000004</v>
      </c>
      <c r="V5">
        <v>22.9</v>
      </c>
      <c r="W5">
        <v>19.399999999999999</v>
      </c>
      <c r="X5">
        <v>8.9</v>
      </c>
      <c r="Y5">
        <f t="shared" si="0"/>
        <v>304.99999999999994</v>
      </c>
      <c r="Z5">
        <v>19.100000000000001</v>
      </c>
      <c r="AA5">
        <v>9</v>
      </c>
      <c r="AB5">
        <v>1</v>
      </c>
      <c r="AC5">
        <v>14</v>
      </c>
      <c r="AD5">
        <v>11</v>
      </c>
      <c r="AE5">
        <v>7</v>
      </c>
      <c r="AF5">
        <v>3</v>
      </c>
      <c r="AG5">
        <v>1</v>
      </c>
      <c r="AH5">
        <v>0.82352941176470584</v>
      </c>
      <c r="AI5">
        <v>0.6875</v>
      </c>
      <c r="AJ5">
        <v>0.4375</v>
      </c>
      <c r="AK5">
        <v>0.1875</v>
      </c>
      <c r="AL5">
        <v>6.25E-2</v>
      </c>
    </row>
    <row r="6" spans="1:38" x14ac:dyDescent="0.25">
      <c r="A6">
        <v>2025</v>
      </c>
      <c r="B6" t="s">
        <v>93</v>
      </c>
      <c r="C6" t="s">
        <v>21</v>
      </c>
      <c r="D6" t="str" cm="1">
        <f t="array" ref="D6">_xlfn.XLOOKUP(1,('26 WR'!A:A=E6)*('26 WR'!B:B=F6),'26 WR'!C:C)</f>
        <v>Jayden Daniels</v>
      </c>
      <c r="E6" t="s">
        <v>67</v>
      </c>
      <c r="F6">
        <v>5</v>
      </c>
      <c r="G6">
        <v>16</v>
      </c>
      <c r="H6">
        <v>8.8000000000000007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19.2</v>
      </c>
      <c r="U6">
        <v>25.4</v>
      </c>
      <c r="V6">
        <v>7.5</v>
      </c>
      <c r="W6">
        <v>29</v>
      </c>
      <c r="X6">
        <v>20.399999999999999</v>
      </c>
      <c r="Y6">
        <f t="shared" si="0"/>
        <v>117.30000000000001</v>
      </c>
      <c r="Z6">
        <v>17.399999999999999</v>
      </c>
      <c r="AA6">
        <v>7</v>
      </c>
      <c r="AB6">
        <v>1</v>
      </c>
      <c r="AC6">
        <v>5</v>
      </c>
      <c r="AD6">
        <v>5</v>
      </c>
      <c r="AE6">
        <v>4</v>
      </c>
      <c r="AF6">
        <v>2</v>
      </c>
      <c r="AG6">
        <v>0</v>
      </c>
      <c r="AH6">
        <v>0.29411764705882354</v>
      </c>
      <c r="AI6">
        <v>0.625</v>
      </c>
      <c r="AJ6">
        <v>0.5</v>
      </c>
      <c r="AK6">
        <v>0.25</v>
      </c>
      <c r="AL6">
        <v>0</v>
      </c>
    </row>
    <row r="7" spans="1:38" x14ac:dyDescent="0.25">
      <c r="A7">
        <v>2025</v>
      </c>
      <c r="B7" t="s">
        <v>129</v>
      </c>
      <c r="C7" t="s">
        <v>85</v>
      </c>
      <c r="D7" t="str" cm="1">
        <f t="array" ref="D7">_xlfn.XLOOKUP(1,('26 WR'!A:A=E7)*('26 WR'!B:B=F7),'26 WR'!C:C)</f>
        <v>Jalen Hurts</v>
      </c>
      <c r="E7" t="s">
        <v>67</v>
      </c>
      <c r="F7">
        <v>6</v>
      </c>
      <c r="G7">
        <v>19</v>
      </c>
      <c r="H7">
        <v>26</v>
      </c>
      <c r="I7">
        <v>23.1</v>
      </c>
      <c r="J7">
        <v>13.2</v>
      </c>
      <c r="K7">
        <v>27.3</v>
      </c>
      <c r="L7">
        <v>27.7</v>
      </c>
      <c r="M7">
        <v>31.5</v>
      </c>
      <c r="N7">
        <v>26.2</v>
      </c>
      <c r="O7">
        <v>25</v>
      </c>
      <c r="P7">
        <v>11.5</v>
      </c>
      <c r="Q7">
        <v>0</v>
      </c>
      <c r="R7">
        <v>14.3</v>
      </c>
      <c r="S7">
        <v>18.100000000000001</v>
      </c>
      <c r="T7">
        <v>29.4</v>
      </c>
      <c r="U7">
        <v>8.3000000000000007</v>
      </c>
      <c r="V7">
        <v>14.1</v>
      </c>
      <c r="W7">
        <v>0</v>
      </c>
      <c r="X7">
        <v>0</v>
      </c>
      <c r="Y7">
        <f t="shared" si="0"/>
        <v>295.70000000000005</v>
      </c>
      <c r="Z7">
        <v>21.1</v>
      </c>
      <c r="AA7">
        <v>11</v>
      </c>
      <c r="AB7">
        <v>1</v>
      </c>
      <c r="AC7">
        <v>13</v>
      </c>
      <c r="AD7">
        <v>9</v>
      </c>
      <c r="AE7">
        <v>8</v>
      </c>
      <c r="AF7">
        <v>6</v>
      </c>
      <c r="AG7">
        <v>1</v>
      </c>
      <c r="AH7">
        <v>0.76470588235294112</v>
      </c>
      <c r="AI7">
        <v>0.6428571428571429</v>
      </c>
      <c r="AJ7">
        <v>0.5714285714285714</v>
      </c>
      <c r="AK7">
        <v>0.42857142857142855</v>
      </c>
      <c r="AL7">
        <v>7.1428571428571425E-2</v>
      </c>
    </row>
    <row r="8" spans="1:38" x14ac:dyDescent="0.25">
      <c r="A8">
        <v>2025</v>
      </c>
      <c r="B8" t="s">
        <v>138</v>
      </c>
      <c r="C8" t="s">
        <v>57</v>
      </c>
      <c r="D8" t="str" cm="1">
        <f t="array" ref="D8">_xlfn.XLOOKUP(1,('26 WR'!A:A=E8)*('26 WR'!B:B=F8),'26 WR'!C:C)</f>
        <v>Caleb Williams</v>
      </c>
      <c r="E8" t="s">
        <v>67</v>
      </c>
      <c r="F8">
        <v>7</v>
      </c>
      <c r="G8">
        <v>29</v>
      </c>
      <c r="H8">
        <v>22.6</v>
      </c>
      <c r="I8">
        <v>19.899999999999999</v>
      </c>
      <c r="J8">
        <v>17.7</v>
      </c>
      <c r="K8">
        <v>19.899999999999999</v>
      </c>
      <c r="L8">
        <v>26.7</v>
      </c>
      <c r="M8">
        <v>19.600000000000001</v>
      </c>
      <c r="N8">
        <v>12.1</v>
      </c>
      <c r="O8">
        <v>4.0999999999999996</v>
      </c>
      <c r="P8">
        <v>0</v>
      </c>
      <c r="Q8">
        <v>22.9</v>
      </c>
      <c r="R8">
        <v>17.8</v>
      </c>
      <c r="S8">
        <v>5.5</v>
      </c>
      <c r="T8">
        <v>14.5</v>
      </c>
      <c r="U8">
        <v>12.1</v>
      </c>
      <c r="V8">
        <v>20.2</v>
      </c>
      <c r="W8">
        <v>13.7</v>
      </c>
      <c r="X8">
        <v>19.399999999999999</v>
      </c>
      <c r="Y8">
        <f t="shared" si="0"/>
        <v>268.7</v>
      </c>
      <c r="Z8">
        <v>16.600000000000001</v>
      </c>
      <c r="AA8">
        <v>12</v>
      </c>
      <c r="AB8">
        <v>1</v>
      </c>
      <c r="AC8">
        <v>15</v>
      </c>
      <c r="AD8">
        <v>10</v>
      </c>
      <c r="AE8">
        <v>4</v>
      </c>
      <c r="AF8">
        <v>1</v>
      </c>
      <c r="AG8">
        <v>0</v>
      </c>
      <c r="AH8">
        <v>0.88235294117647056</v>
      </c>
      <c r="AI8">
        <v>0.58823529411764708</v>
      </c>
      <c r="AJ8">
        <v>0.23529411764705882</v>
      </c>
      <c r="AK8">
        <v>5.8823529411764705E-2</v>
      </c>
      <c r="AL8">
        <v>0</v>
      </c>
    </row>
    <row r="9" spans="1:38" x14ac:dyDescent="0.25">
      <c r="A9">
        <v>2025</v>
      </c>
      <c r="B9" t="s">
        <v>143</v>
      </c>
      <c r="C9" t="s">
        <v>90</v>
      </c>
      <c r="D9" t="str" cm="1">
        <f t="array" ref="D9">_xlfn.XLOOKUP(1,('26 WR'!A:A=E9)*('26 WR'!B:B=F9),'26 WR'!C:C)</f>
        <v>Justin Herbert</v>
      </c>
      <c r="E9" t="s">
        <v>67</v>
      </c>
      <c r="F9">
        <v>8</v>
      </c>
      <c r="G9">
        <v>32</v>
      </c>
      <c r="H9">
        <v>29.5</v>
      </c>
      <c r="I9">
        <v>4</v>
      </c>
      <c r="J9">
        <v>0</v>
      </c>
      <c r="K9">
        <v>27.1</v>
      </c>
      <c r="L9">
        <v>25.9</v>
      </c>
      <c r="M9">
        <v>4.9000000000000004</v>
      </c>
      <c r="N9">
        <v>4</v>
      </c>
      <c r="O9">
        <v>20.9</v>
      </c>
      <c r="P9">
        <v>0</v>
      </c>
      <c r="Q9">
        <v>8</v>
      </c>
      <c r="R9">
        <v>19.3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0"/>
        <v>143.60000000000002</v>
      </c>
      <c r="Z9">
        <v>16</v>
      </c>
      <c r="AA9">
        <v>10</v>
      </c>
      <c r="AB9">
        <v>1</v>
      </c>
      <c r="AC9">
        <v>5</v>
      </c>
      <c r="AD9">
        <v>5</v>
      </c>
      <c r="AE9">
        <v>4</v>
      </c>
      <c r="AF9">
        <v>3</v>
      </c>
      <c r="AG9">
        <v>0</v>
      </c>
      <c r="AH9">
        <v>0.29411764705882354</v>
      </c>
      <c r="AI9">
        <v>0.55555555555555558</v>
      </c>
      <c r="AJ9">
        <v>0.44444444444444442</v>
      </c>
      <c r="AK9">
        <v>0.33333333333333331</v>
      </c>
      <c r="AL9">
        <v>0</v>
      </c>
    </row>
    <row r="10" spans="1:38" x14ac:dyDescent="0.25">
      <c r="A10">
        <v>2025</v>
      </c>
      <c r="B10" t="s">
        <v>144</v>
      </c>
      <c r="C10" t="s">
        <v>98</v>
      </c>
      <c r="D10" t="str" cm="1">
        <f t="array" ref="D10">_xlfn.XLOOKUP(1,('26 WR'!A:A=E10)*('26 WR'!B:B=F10),'26 WR'!C:C)</f>
        <v>Trevor Lawrence</v>
      </c>
      <c r="E10" t="s">
        <v>67</v>
      </c>
      <c r="F10">
        <v>9</v>
      </c>
      <c r="G10">
        <v>34</v>
      </c>
      <c r="H10">
        <v>8.8000000000000007</v>
      </c>
      <c r="I10">
        <v>21.2</v>
      </c>
      <c r="J10">
        <v>13.4</v>
      </c>
      <c r="K10">
        <v>26.7</v>
      </c>
      <c r="L10">
        <v>17.899999999999999</v>
      </c>
      <c r="M10">
        <v>13.4</v>
      </c>
      <c r="N10">
        <v>40</v>
      </c>
      <c r="O10">
        <v>24.8</v>
      </c>
      <c r="P10">
        <v>19.5</v>
      </c>
      <c r="Q10">
        <v>7.8</v>
      </c>
      <c r="R10">
        <v>12.6</v>
      </c>
      <c r="S10">
        <v>0</v>
      </c>
      <c r="T10">
        <v>17.399999999999999</v>
      </c>
      <c r="U10">
        <v>16</v>
      </c>
      <c r="V10">
        <v>29.1</v>
      </c>
      <c r="W10">
        <v>16.2</v>
      </c>
      <c r="X10">
        <v>20.5</v>
      </c>
      <c r="Y10">
        <f t="shared" si="0"/>
        <v>305.3</v>
      </c>
      <c r="Z10">
        <v>18.600000000000001</v>
      </c>
      <c r="AA10">
        <v>7</v>
      </c>
      <c r="AB10">
        <v>1</v>
      </c>
      <c r="AC10">
        <v>15</v>
      </c>
      <c r="AD10">
        <v>11</v>
      </c>
      <c r="AE10">
        <v>6</v>
      </c>
      <c r="AF10">
        <v>3</v>
      </c>
      <c r="AG10">
        <v>1</v>
      </c>
      <c r="AH10">
        <v>0.88235294117647056</v>
      </c>
      <c r="AI10">
        <v>0.6470588235294118</v>
      </c>
      <c r="AJ10">
        <v>0.35294117647058826</v>
      </c>
      <c r="AK10">
        <v>0.17647058823529413</v>
      </c>
      <c r="AL10">
        <v>5.8823529411764705E-2</v>
      </c>
    </row>
    <row r="11" spans="1:38" x14ac:dyDescent="0.25">
      <c r="A11">
        <v>2025</v>
      </c>
      <c r="B11" t="s">
        <v>147</v>
      </c>
      <c r="C11" t="s">
        <v>35</v>
      </c>
      <c r="D11" t="str" cm="1">
        <f t="array" ref="D11">_xlfn.XLOOKUP(1,('26 WR'!A:A=E11)*('26 WR'!B:B=F11),'26 WR'!C:C)</f>
        <v>Dak Prescott</v>
      </c>
      <c r="E11" t="s">
        <v>67</v>
      </c>
      <c r="F11">
        <v>10</v>
      </c>
      <c r="G11">
        <v>36</v>
      </c>
      <c r="H11">
        <v>7.8</v>
      </c>
      <c r="I11">
        <v>23.1</v>
      </c>
      <c r="J11">
        <v>14</v>
      </c>
      <c r="K11">
        <v>31</v>
      </c>
      <c r="L11">
        <v>28.3</v>
      </c>
      <c r="M11">
        <v>22.3</v>
      </c>
      <c r="N11">
        <v>23.3</v>
      </c>
      <c r="O11">
        <v>8.6</v>
      </c>
      <c r="P11">
        <v>16.399999999999999</v>
      </c>
      <c r="Q11">
        <v>0</v>
      </c>
      <c r="R11">
        <v>24.3</v>
      </c>
      <c r="S11">
        <v>28.1</v>
      </c>
      <c r="T11">
        <v>21.6</v>
      </c>
      <c r="U11">
        <v>20.399999999999999</v>
      </c>
      <c r="V11">
        <v>12</v>
      </c>
      <c r="W11">
        <v>19.2</v>
      </c>
      <c r="X11">
        <v>22.7</v>
      </c>
      <c r="Y11">
        <f t="shared" si="0"/>
        <v>323.09999999999997</v>
      </c>
      <c r="Z11">
        <v>19</v>
      </c>
      <c r="AA11">
        <v>5</v>
      </c>
      <c r="AB11">
        <v>1</v>
      </c>
      <c r="AC11">
        <v>14</v>
      </c>
      <c r="AD11">
        <v>12</v>
      </c>
      <c r="AE11">
        <v>10</v>
      </c>
      <c r="AF11">
        <v>3</v>
      </c>
      <c r="AG11">
        <v>1</v>
      </c>
      <c r="AH11">
        <v>0.82352941176470584</v>
      </c>
      <c r="AI11">
        <v>0.70588235294117652</v>
      </c>
      <c r="AJ11">
        <v>0.58823529411764708</v>
      </c>
      <c r="AK11">
        <v>0.17647058823529413</v>
      </c>
      <c r="AL11">
        <v>5.8823529411764705E-2</v>
      </c>
    </row>
    <row r="12" spans="1:38" x14ac:dyDescent="0.25">
      <c r="A12">
        <v>2025</v>
      </c>
      <c r="B12" t="s">
        <v>158</v>
      </c>
      <c r="C12" t="s">
        <v>45</v>
      </c>
      <c r="D12" t="str" cm="1">
        <f t="array" ref="D12">_xlfn.XLOOKUP(1,('26 WR'!A:A=E12)*('26 WR'!B:B=F12),'26 WR'!C:C)</f>
        <v>Jaxson Dart</v>
      </c>
      <c r="E12" t="s">
        <v>67</v>
      </c>
      <c r="F12">
        <v>11</v>
      </c>
      <c r="G12">
        <v>39</v>
      </c>
      <c r="H12">
        <v>18.3</v>
      </c>
      <c r="I12">
        <v>15</v>
      </c>
      <c r="J12">
        <v>14.1</v>
      </c>
      <c r="K12">
        <v>18.100000000000001</v>
      </c>
      <c r="L12">
        <v>15.3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0"/>
        <v>80.8</v>
      </c>
      <c r="Z12">
        <v>16.2</v>
      </c>
      <c r="AA12">
        <v>38</v>
      </c>
      <c r="AB12">
        <v>1</v>
      </c>
      <c r="AC12">
        <v>5</v>
      </c>
      <c r="AD12">
        <v>3</v>
      </c>
      <c r="AE12">
        <v>0</v>
      </c>
      <c r="AF12">
        <v>0</v>
      </c>
      <c r="AG12">
        <v>0</v>
      </c>
      <c r="AH12">
        <v>0.29411764705882354</v>
      </c>
      <c r="AI12">
        <v>0.6</v>
      </c>
      <c r="AJ12">
        <v>0</v>
      </c>
      <c r="AK12">
        <v>0</v>
      </c>
      <c r="AL12">
        <v>0</v>
      </c>
    </row>
    <row r="13" spans="1:38" x14ac:dyDescent="0.25">
      <c r="A13">
        <v>2025</v>
      </c>
      <c r="B13" t="s">
        <v>161</v>
      </c>
      <c r="C13" t="s">
        <v>110</v>
      </c>
      <c r="D13" t="str" cm="1">
        <f t="array" ref="D13">_xlfn.XLOOKUP(1,('26 WR'!A:A=E13)*('26 WR'!B:B=F13),'26 WR'!C:C)</f>
        <v>Brock Purdy</v>
      </c>
      <c r="E13" t="s">
        <v>67</v>
      </c>
      <c r="F13">
        <v>12</v>
      </c>
      <c r="G13">
        <v>41</v>
      </c>
      <c r="H13">
        <v>24.2</v>
      </c>
      <c r="I13">
        <v>18</v>
      </c>
      <c r="J13">
        <v>29.1</v>
      </c>
      <c r="K13">
        <v>12.8</v>
      </c>
      <c r="L13">
        <v>0</v>
      </c>
      <c r="M13">
        <v>19.899999999999999</v>
      </c>
      <c r="N13">
        <v>5.7</v>
      </c>
      <c r="O13">
        <v>12.8</v>
      </c>
      <c r="P13">
        <v>36.700000000000003</v>
      </c>
      <c r="Q13">
        <v>25.1</v>
      </c>
      <c r="R13">
        <v>10.3</v>
      </c>
      <c r="S13">
        <v>21.7</v>
      </c>
      <c r="T13">
        <v>10.5</v>
      </c>
      <c r="U13">
        <v>15.9</v>
      </c>
      <c r="V13">
        <v>19</v>
      </c>
      <c r="W13">
        <v>21</v>
      </c>
      <c r="X13">
        <v>23</v>
      </c>
      <c r="Y13">
        <f t="shared" si="0"/>
        <v>305.7</v>
      </c>
      <c r="Z13">
        <v>19</v>
      </c>
      <c r="AA13">
        <v>6</v>
      </c>
      <c r="AB13">
        <v>1</v>
      </c>
      <c r="AC13">
        <v>16</v>
      </c>
      <c r="AD13">
        <v>12</v>
      </c>
      <c r="AE13">
        <v>7</v>
      </c>
      <c r="AF13">
        <v>3</v>
      </c>
      <c r="AG13">
        <v>1</v>
      </c>
      <c r="AH13">
        <v>0.94117647058823528</v>
      </c>
      <c r="AI13">
        <v>0.70588235294117652</v>
      </c>
      <c r="AJ13">
        <v>0.41176470588235292</v>
      </c>
      <c r="AK13">
        <v>0.17647058823529413</v>
      </c>
      <c r="AL13">
        <v>5.8823529411764705E-2</v>
      </c>
    </row>
    <row r="14" spans="1:38" x14ac:dyDescent="0.25">
      <c r="A14">
        <v>2025</v>
      </c>
      <c r="B14" t="s">
        <v>163</v>
      </c>
      <c r="C14" t="s">
        <v>26</v>
      </c>
      <c r="D14" t="str" cm="1">
        <f t="array" ref="D14">_xlfn.XLOOKUP(1,('26 WR'!A:A=E14)*('26 WR'!B:B=F14),'26 WR'!C:C)</f>
        <v>Patrick Mahomes II</v>
      </c>
      <c r="E14" t="s">
        <v>67</v>
      </c>
      <c r="F14">
        <v>13</v>
      </c>
      <c r="G14">
        <v>46</v>
      </c>
      <c r="H14">
        <v>18.8</v>
      </c>
      <c r="I14">
        <v>0</v>
      </c>
      <c r="J14">
        <v>0</v>
      </c>
      <c r="K14">
        <v>19.7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19.3</v>
      </c>
      <c r="S14">
        <v>10.3</v>
      </c>
      <c r="T14">
        <v>17.100000000000001</v>
      </c>
      <c r="U14">
        <v>0</v>
      </c>
      <c r="V14">
        <v>26.2</v>
      </c>
      <c r="W14">
        <v>31.9</v>
      </c>
      <c r="X14">
        <v>37.9</v>
      </c>
      <c r="Y14">
        <f t="shared" si="0"/>
        <v>181.2</v>
      </c>
      <c r="Z14">
        <v>20.8</v>
      </c>
      <c r="AA14">
        <v>15</v>
      </c>
      <c r="AB14">
        <v>1</v>
      </c>
      <c r="AC14">
        <v>8</v>
      </c>
      <c r="AD14">
        <v>7</v>
      </c>
      <c r="AE14">
        <v>3</v>
      </c>
      <c r="AF14">
        <v>3</v>
      </c>
      <c r="AG14">
        <v>2</v>
      </c>
      <c r="AH14">
        <v>0.47058823529411764</v>
      </c>
      <c r="AI14">
        <v>0.77777777777777779</v>
      </c>
      <c r="AJ14">
        <v>0.33333333333333331</v>
      </c>
      <c r="AK14">
        <v>0.33333333333333331</v>
      </c>
      <c r="AL14">
        <v>0.22222222222222221</v>
      </c>
    </row>
    <row r="15" spans="1:38" x14ac:dyDescent="0.25">
      <c r="A15">
        <v>2025</v>
      </c>
      <c r="B15" t="s">
        <v>167</v>
      </c>
      <c r="C15" t="s">
        <v>37</v>
      </c>
      <c r="D15" t="str" cm="1">
        <f t="array" ref="D15">_xlfn.XLOOKUP(1,('26 WR'!A:A=E15)*('26 WR'!B:B=F15),'26 WR'!C:C)</f>
        <v>Bo Nix</v>
      </c>
      <c r="E15" t="s">
        <v>67</v>
      </c>
      <c r="F15">
        <v>14</v>
      </c>
      <c r="G15">
        <v>53</v>
      </c>
      <c r="H15">
        <v>11.9</v>
      </c>
      <c r="I15">
        <v>34</v>
      </c>
      <c r="J15">
        <v>12.7</v>
      </c>
      <c r="K15">
        <v>13.7</v>
      </c>
      <c r="L15">
        <v>20.100000000000001</v>
      </c>
      <c r="M15">
        <v>16.8</v>
      </c>
      <c r="N15">
        <v>11.3</v>
      </c>
      <c r="O15">
        <v>0</v>
      </c>
      <c r="P15">
        <v>19.399999999999999</v>
      </c>
      <c r="Q15">
        <v>24.8</v>
      </c>
      <c r="R15">
        <v>13.1</v>
      </c>
      <c r="S15">
        <v>18.2</v>
      </c>
      <c r="T15">
        <v>20.6</v>
      </c>
      <c r="U15">
        <v>16.2</v>
      </c>
      <c r="V15">
        <v>25.5</v>
      </c>
      <c r="W15">
        <v>26.5</v>
      </c>
      <c r="X15">
        <v>4.0999999999999996</v>
      </c>
      <c r="Y15">
        <f t="shared" si="0"/>
        <v>288.89999999999998</v>
      </c>
      <c r="Z15">
        <v>17.899999999999999</v>
      </c>
      <c r="AA15">
        <v>8</v>
      </c>
      <c r="AB15">
        <v>1</v>
      </c>
      <c r="AC15">
        <v>16</v>
      </c>
      <c r="AD15">
        <v>11</v>
      </c>
      <c r="AE15">
        <v>6</v>
      </c>
      <c r="AF15">
        <v>3</v>
      </c>
      <c r="AG15">
        <v>1</v>
      </c>
      <c r="AH15">
        <v>0.94117647058823528</v>
      </c>
      <c r="AI15">
        <v>0.6470588235294118</v>
      </c>
      <c r="AJ15">
        <v>0.35294117647058826</v>
      </c>
      <c r="AK15">
        <v>0.17647058823529413</v>
      </c>
      <c r="AL15">
        <v>5.8823529411764705E-2</v>
      </c>
    </row>
    <row r="16" spans="1:38" x14ac:dyDescent="0.25">
      <c r="A16">
        <v>2025</v>
      </c>
      <c r="B16" t="s">
        <v>170</v>
      </c>
      <c r="C16" t="s">
        <v>78</v>
      </c>
      <c r="D16" t="str" cm="1">
        <f t="array" ref="D16">_xlfn.XLOOKUP(1,('26 WR'!A:A=E16)*('26 WR'!B:B=F16),'26 WR'!C:C)</f>
        <v>Matthew Stafford</v>
      </c>
      <c r="E16" t="s">
        <v>67</v>
      </c>
      <c r="F16">
        <v>15</v>
      </c>
      <c r="G16">
        <v>59</v>
      </c>
      <c r="H16">
        <v>15.8</v>
      </c>
      <c r="I16">
        <v>26.3</v>
      </c>
      <c r="J16">
        <v>20.2</v>
      </c>
      <c r="K16">
        <v>23.2</v>
      </c>
      <c r="L16">
        <v>12.1</v>
      </c>
      <c r="M16">
        <v>27.2</v>
      </c>
      <c r="N16">
        <v>23.1</v>
      </c>
      <c r="O16">
        <v>27.3</v>
      </c>
      <c r="P16">
        <v>17.399999999999999</v>
      </c>
      <c r="Q16">
        <v>19.100000000000001</v>
      </c>
      <c r="R16">
        <v>15.4</v>
      </c>
      <c r="S16">
        <v>17</v>
      </c>
      <c r="T16">
        <v>20.5</v>
      </c>
      <c r="U16">
        <v>0</v>
      </c>
      <c r="V16">
        <v>21.5</v>
      </c>
      <c r="W16">
        <v>24.7</v>
      </c>
      <c r="X16">
        <v>32.4</v>
      </c>
      <c r="Y16">
        <f t="shared" si="0"/>
        <v>343.2</v>
      </c>
      <c r="Z16">
        <v>21.1</v>
      </c>
      <c r="AA16">
        <v>2</v>
      </c>
      <c r="AB16">
        <v>1</v>
      </c>
      <c r="AC16">
        <v>17</v>
      </c>
      <c r="AD16">
        <v>16</v>
      </c>
      <c r="AE16">
        <v>10</v>
      </c>
      <c r="AF16">
        <v>4</v>
      </c>
      <c r="AG16">
        <v>1</v>
      </c>
      <c r="AH16">
        <v>1</v>
      </c>
      <c r="AI16">
        <v>0.94117647058823528</v>
      </c>
      <c r="AJ16">
        <v>0.58823529411764708</v>
      </c>
      <c r="AK16">
        <v>0.23529411764705882</v>
      </c>
      <c r="AL16">
        <v>5.8823529411764705E-2</v>
      </c>
    </row>
    <row r="17" spans="1:38" x14ac:dyDescent="0.25">
      <c r="A17">
        <v>2025</v>
      </c>
      <c r="B17" t="s">
        <v>183</v>
      </c>
      <c r="C17" t="s">
        <v>59</v>
      </c>
      <c r="D17" t="str" cm="1">
        <f t="array" ref="D17">_xlfn.XLOOKUP(1,('26 WR'!A:A=E17)*('26 WR'!B:B=F17),'26 WR'!C:C)</f>
        <v>Jared Goff</v>
      </c>
      <c r="E17" t="s">
        <v>67</v>
      </c>
      <c r="F17">
        <v>16</v>
      </c>
      <c r="G17">
        <v>63</v>
      </c>
      <c r="H17">
        <v>7.3</v>
      </c>
      <c r="I17">
        <v>19.600000000000001</v>
      </c>
      <c r="J17">
        <v>13.8</v>
      </c>
      <c r="K17">
        <v>15.7</v>
      </c>
      <c r="L17">
        <v>22.7</v>
      </c>
      <c r="M17">
        <v>9.6</v>
      </c>
      <c r="N17">
        <v>1.6</v>
      </c>
      <c r="O17">
        <v>24.2</v>
      </c>
      <c r="P17">
        <v>9.5</v>
      </c>
      <c r="Q17">
        <v>12.8</v>
      </c>
      <c r="R17">
        <v>6.8</v>
      </c>
      <c r="S17">
        <v>0</v>
      </c>
      <c r="T17">
        <v>5.7</v>
      </c>
      <c r="U17">
        <v>9.1</v>
      </c>
      <c r="V17">
        <v>17.2</v>
      </c>
      <c r="W17">
        <v>0</v>
      </c>
      <c r="X17">
        <v>0</v>
      </c>
      <c r="Y17">
        <f t="shared" si="0"/>
        <v>175.6</v>
      </c>
      <c r="Z17">
        <v>12.6</v>
      </c>
      <c r="AA17">
        <v>16</v>
      </c>
      <c r="AB17">
        <v>1</v>
      </c>
      <c r="AC17">
        <v>7</v>
      </c>
      <c r="AD17">
        <v>5</v>
      </c>
      <c r="AE17">
        <v>2</v>
      </c>
      <c r="AF17">
        <v>0</v>
      </c>
      <c r="AG17">
        <v>0</v>
      </c>
      <c r="AH17">
        <v>0.41176470588235292</v>
      </c>
      <c r="AI17">
        <v>0.35714285714285715</v>
      </c>
      <c r="AJ17">
        <v>0.14285714285714285</v>
      </c>
      <c r="AK17">
        <v>0</v>
      </c>
      <c r="AL17">
        <v>0</v>
      </c>
    </row>
    <row r="18" spans="1:38" x14ac:dyDescent="0.25">
      <c r="A18">
        <v>2025</v>
      </c>
      <c r="B18" t="s">
        <v>185</v>
      </c>
      <c r="C18" t="s">
        <v>65</v>
      </c>
      <c r="D18" t="str" cm="1">
        <f t="array" ref="D18">_xlfn.XLOOKUP(1,('26 WR'!A:A=E18)*('26 WR'!B:B=F18),'26 WR'!C:C)</f>
        <v>Kyler Murray</v>
      </c>
      <c r="E18" t="s">
        <v>67</v>
      </c>
      <c r="F18">
        <v>17</v>
      </c>
      <c r="G18">
        <v>76</v>
      </c>
      <c r="H18">
        <v>27.9</v>
      </c>
      <c r="I18">
        <v>18.8</v>
      </c>
      <c r="J18">
        <v>15.6</v>
      </c>
      <c r="K18">
        <v>14.5</v>
      </c>
      <c r="L18">
        <v>15.6</v>
      </c>
      <c r="M18">
        <v>18.8</v>
      </c>
      <c r="N18">
        <v>29.9</v>
      </c>
      <c r="O18">
        <v>26.3</v>
      </c>
      <c r="P18">
        <v>28.7</v>
      </c>
      <c r="Q18">
        <v>14.7</v>
      </c>
      <c r="R18">
        <v>4.3</v>
      </c>
      <c r="S18">
        <v>0</v>
      </c>
      <c r="T18">
        <v>13.8</v>
      </c>
      <c r="U18">
        <v>13.2</v>
      </c>
      <c r="V18">
        <v>11.4</v>
      </c>
      <c r="W18">
        <v>30.2</v>
      </c>
      <c r="X18">
        <v>16.100000000000001</v>
      </c>
      <c r="Y18">
        <f t="shared" si="0"/>
        <v>299.8</v>
      </c>
      <c r="Z18">
        <v>18.7</v>
      </c>
      <c r="AA18">
        <v>10</v>
      </c>
      <c r="AB18">
        <v>1</v>
      </c>
      <c r="AC18">
        <v>15</v>
      </c>
      <c r="AD18">
        <v>10</v>
      </c>
      <c r="AE18">
        <v>5</v>
      </c>
      <c r="AF18">
        <v>5</v>
      </c>
      <c r="AG18">
        <v>1</v>
      </c>
      <c r="AH18">
        <v>0.88235294117647056</v>
      </c>
      <c r="AI18">
        <v>0.625</v>
      </c>
      <c r="AJ18">
        <v>0.3125</v>
      </c>
      <c r="AK18">
        <v>0.3125</v>
      </c>
      <c r="AL18">
        <v>6.25E-2</v>
      </c>
    </row>
    <row r="19" spans="1:38" x14ac:dyDescent="0.25">
      <c r="A19">
        <v>2025</v>
      </c>
      <c r="B19" t="s">
        <v>188</v>
      </c>
      <c r="C19" t="s">
        <v>92</v>
      </c>
      <c r="D19" t="str" cm="1">
        <f t="array" ref="D19">_xlfn.XLOOKUP(1,('26 WR'!A:A=E19)*('26 WR'!B:B=F19),'26 WR'!C:C)</f>
        <v>Jordan Love</v>
      </c>
      <c r="E19" t="s">
        <v>67</v>
      </c>
      <c r="F19">
        <v>18</v>
      </c>
      <c r="G19">
        <v>78</v>
      </c>
      <c r="H19">
        <v>10.199999999999999</v>
      </c>
      <c r="I19">
        <v>22.3</v>
      </c>
      <c r="J19">
        <v>11.6</v>
      </c>
      <c r="K19">
        <v>10.3</v>
      </c>
      <c r="L19">
        <v>13</v>
      </c>
      <c r="M19">
        <v>19.5</v>
      </c>
      <c r="N19">
        <v>10.5</v>
      </c>
      <c r="O19">
        <v>0</v>
      </c>
      <c r="P19">
        <v>4</v>
      </c>
      <c r="Q19">
        <v>2.6</v>
      </c>
      <c r="R19">
        <v>31.8</v>
      </c>
      <c r="S19">
        <v>10.3</v>
      </c>
      <c r="T19">
        <v>22.5</v>
      </c>
      <c r="U19">
        <v>0</v>
      </c>
      <c r="V19">
        <v>15.4</v>
      </c>
      <c r="W19">
        <v>17.600000000000001</v>
      </c>
      <c r="X19">
        <v>9.9</v>
      </c>
      <c r="Y19">
        <f t="shared" si="0"/>
        <v>211.50000000000003</v>
      </c>
      <c r="Z19">
        <v>14.3</v>
      </c>
      <c r="AA19">
        <v>19</v>
      </c>
      <c r="AB19">
        <v>1</v>
      </c>
      <c r="AC19">
        <v>13</v>
      </c>
      <c r="AD19">
        <v>7</v>
      </c>
      <c r="AE19">
        <v>3</v>
      </c>
      <c r="AF19">
        <v>1</v>
      </c>
      <c r="AG19">
        <v>1</v>
      </c>
      <c r="AH19">
        <v>0.76470588235294112</v>
      </c>
      <c r="AI19">
        <v>0.4375</v>
      </c>
      <c r="AJ19">
        <v>0.1875</v>
      </c>
      <c r="AK19">
        <v>6.25E-2</v>
      </c>
      <c r="AL19">
        <v>6.25E-2</v>
      </c>
    </row>
    <row r="20" spans="1:38" x14ac:dyDescent="0.25">
      <c r="A20">
        <v>2025</v>
      </c>
      <c r="B20" t="s">
        <v>191</v>
      </c>
      <c r="C20" t="s">
        <v>114</v>
      </c>
      <c r="D20" t="str" cm="1">
        <f t="array" ref="D20">_xlfn.XLOOKUP(1,('26 WR'!A:A=E20)*('26 WR'!B:B=F20),'26 WR'!C:C)</f>
        <v>Baker Mayfield</v>
      </c>
      <c r="E20" t="s">
        <v>67</v>
      </c>
      <c r="F20">
        <v>19</v>
      </c>
      <c r="G20">
        <v>84</v>
      </c>
      <c r="H20">
        <v>2.5</v>
      </c>
      <c r="I20">
        <v>9.8000000000000007</v>
      </c>
      <c r="J20">
        <v>13</v>
      </c>
      <c r="K20">
        <v>5.5</v>
      </c>
      <c r="L20">
        <v>9</v>
      </c>
      <c r="M20">
        <v>7.9</v>
      </c>
      <c r="N20">
        <v>11.2</v>
      </c>
      <c r="O20">
        <v>13.8</v>
      </c>
      <c r="P20">
        <v>6.4</v>
      </c>
      <c r="Q20">
        <v>0</v>
      </c>
      <c r="R20">
        <v>13.1</v>
      </c>
      <c r="S20">
        <v>23.9</v>
      </c>
      <c r="T20">
        <v>6.3</v>
      </c>
      <c r="U20">
        <v>12.1</v>
      </c>
      <c r="V20">
        <v>15</v>
      </c>
      <c r="W20">
        <v>18</v>
      </c>
      <c r="X20">
        <v>17</v>
      </c>
      <c r="Y20">
        <f t="shared" si="0"/>
        <v>184.5</v>
      </c>
      <c r="Z20">
        <v>11.4</v>
      </c>
      <c r="AA20">
        <v>15</v>
      </c>
      <c r="AB20">
        <v>1</v>
      </c>
      <c r="AC20">
        <v>9</v>
      </c>
      <c r="AD20">
        <v>3</v>
      </c>
      <c r="AE20">
        <v>1</v>
      </c>
      <c r="AF20">
        <v>0</v>
      </c>
      <c r="AG20">
        <v>0</v>
      </c>
      <c r="AH20">
        <v>0.52941176470588236</v>
      </c>
      <c r="AI20">
        <v>0.17647058823529413</v>
      </c>
      <c r="AJ20">
        <v>5.8823529411764705E-2</v>
      </c>
      <c r="AK20">
        <v>0</v>
      </c>
      <c r="AL20">
        <v>0</v>
      </c>
    </row>
    <row r="21" spans="1:38" x14ac:dyDescent="0.25">
      <c r="A21">
        <v>2025</v>
      </c>
      <c r="B21" t="s">
        <v>196</v>
      </c>
      <c r="C21" t="s">
        <v>29</v>
      </c>
      <c r="D21" t="str" cm="1">
        <f t="array" ref="D21">_xlfn.XLOOKUP(1,('26 WR'!A:A=E21)*('26 WR'!B:B=F21),'26 WR'!C:C)</f>
        <v>Tyler Shough</v>
      </c>
      <c r="E21" t="s">
        <v>67</v>
      </c>
      <c r="F21">
        <v>20</v>
      </c>
      <c r="G21">
        <v>90</v>
      </c>
      <c r="H21">
        <v>18.5</v>
      </c>
      <c r="I21">
        <v>6.2</v>
      </c>
      <c r="J21">
        <v>26.1</v>
      </c>
      <c r="K21">
        <v>12.8</v>
      </c>
      <c r="L21">
        <v>7.9</v>
      </c>
      <c r="M21">
        <v>9.6999999999999993</v>
      </c>
      <c r="N21">
        <v>2.8</v>
      </c>
      <c r="O21">
        <v>0</v>
      </c>
      <c r="P21">
        <v>27.3</v>
      </c>
      <c r="Q21">
        <v>5.4</v>
      </c>
      <c r="R21">
        <v>13.9</v>
      </c>
      <c r="S21">
        <v>14.2</v>
      </c>
      <c r="T21">
        <v>13</v>
      </c>
      <c r="U21">
        <v>9</v>
      </c>
      <c r="V21">
        <v>0</v>
      </c>
      <c r="W21">
        <v>15</v>
      </c>
      <c r="X21">
        <v>9.1</v>
      </c>
      <c r="Y21">
        <f t="shared" si="0"/>
        <v>190.89999999999998</v>
      </c>
      <c r="Z21">
        <v>12.7</v>
      </c>
      <c r="AA21">
        <v>15</v>
      </c>
      <c r="AB21">
        <v>1</v>
      </c>
      <c r="AC21">
        <v>8</v>
      </c>
      <c r="AD21">
        <v>3</v>
      </c>
      <c r="AE21">
        <v>2</v>
      </c>
      <c r="AF21">
        <v>2</v>
      </c>
      <c r="AG21">
        <v>0</v>
      </c>
      <c r="AH21">
        <v>0.47058823529411764</v>
      </c>
      <c r="AI21">
        <v>0.2</v>
      </c>
      <c r="AJ21">
        <v>0.13333333333333333</v>
      </c>
      <c r="AK21">
        <v>0.13333333333333333</v>
      </c>
      <c r="AL21">
        <v>0</v>
      </c>
    </row>
    <row r="22" spans="1:38" x14ac:dyDescent="0.25">
      <c r="A22">
        <v>2025</v>
      </c>
      <c r="B22" t="s">
        <v>202</v>
      </c>
      <c r="C22" t="s">
        <v>49</v>
      </c>
      <c r="D22" t="str" cm="1">
        <f t="array" ref="D22">_xlfn.XLOOKUP(1,('26 WR'!A:A=E22)*('26 WR'!B:B=F22),'26 WR'!C:C)</f>
        <v>Malik Willis</v>
      </c>
      <c r="E22" t="s">
        <v>67</v>
      </c>
      <c r="F22">
        <v>21</v>
      </c>
      <c r="G22">
        <v>92</v>
      </c>
      <c r="H22">
        <v>13.6</v>
      </c>
      <c r="I22">
        <v>18.3</v>
      </c>
      <c r="J22">
        <v>14.8</v>
      </c>
      <c r="K22">
        <v>27.4</v>
      </c>
      <c r="L22">
        <v>25.6</v>
      </c>
      <c r="M22">
        <v>9.3000000000000007</v>
      </c>
      <c r="N22">
        <v>27.4</v>
      </c>
      <c r="O22">
        <v>0</v>
      </c>
      <c r="P22">
        <v>26.8</v>
      </c>
      <c r="Q22">
        <v>26.9</v>
      </c>
      <c r="R22">
        <v>13.2</v>
      </c>
      <c r="S22">
        <v>22.9</v>
      </c>
      <c r="T22">
        <v>13.6</v>
      </c>
      <c r="U22">
        <v>23.2</v>
      </c>
      <c r="V22">
        <v>21.9</v>
      </c>
      <c r="W22">
        <v>30.9</v>
      </c>
      <c r="X22">
        <v>15.8</v>
      </c>
      <c r="Y22">
        <f t="shared" si="0"/>
        <v>331.59999999999997</v>
      </c>
      <c r="Z22">
        <v>21.1</v>
      </c>
      <c r="AA22">
        <v>3</v>
      </c>
      <c r="AB22">
        <v>1</v>
      </c>
      <c r="AC22">
        <v>16</v>
      </c>
      <c r="AD22">
        <v>12</v>
      </c>
      <c r="AE22">
        <v>10</v>
      </c>
      <c r="AF22">
        <v>7</v>
      </c>
      <c r="AG22">
        <v>1</v>
      </c>
      <c r="AH22">
        <v>0.94117647058823528</v>
      </c>
      <c r="AI22">
        <v>0.70588235294117652</v>
      </c>
      <c r="AJ22">
        <v>0.58823529411764708</v>
      </c>
      <c r="AK22">
        <v>0.41176470588235292</v>
      </c>
      <c r="AL22">
        <v>5.8823529411764705E-2</v>
      </c>
    </row>
    <row r="23" spans="1:38" x14ac:dyDescent="0.25">
      <c r="A23">
        <v>2025</v>
      </c>
      <c r="B23" t="s">
        <v>205</v>
      </c>
      <c r="C23" t="s">
        <v>74</v>
      </c>
      <c r="D23" t="str" cm="1">
        <f t="array" ref="D23">_xlfn.XLOOKUP(1,('26 WR'!A:A=E23)*('26 WR'!B:B=F23),'26 WR'!C:C)</f>
        <v>C.J. Stroud</v>
      </c>
      <c r="E23" t="s">
        <v>67</v>
      </c>
      <c r="F23">
        <v>22</v>
      </c>
      <c r="G23">
        <v>95</v>
      </c>
      <c r="H23">
        <v>5.4</v>
      </c>
      <c r="I23">
        <v>17.8</v>
      </c>
      <c r="J23">
        <v>16.7</v>
      </c>
      <c r="K23">
        <v>16.100000000000001</v>
      </c>
      <c r="L23">
        <v>28.6</v>
      </c>
      <c r="M23">
        <v>20</v>
      </c>
      <c r="N23">
        <v>9.6</v>
      </c>
      <c r="O23">
        <v>0</v>
      </c>
      <c r="P23">
        <v>28.2</v>
      </c>
      <c r="Q23">
        <v>5.9</v>
      </c>
      <c r="R23">
        <v>8.3000000000000007</v>
      </c>
      <c r="S23">
        <v>17.7</v>
      </c>
      <c r="T23">
        <v>3.1</v>
      </c>
      <c r="U23">
        <v>23.3</v>
      </c>
      <c r="V23">
        <v>11.3</v>
      </c>
      <c r="W23">
        <v>21.5</v>
      </c>
      <c r="X23">
        <v>7.1</v>
      </c>
      <c r="Y23">
        <f t="shared" si="0"/>
        <v>240.60000000000002</v>
      </c>
      <c r="Z23">
        <v>14.7</v>
      </c>
      <c r="AA23">
        <v>13</v>
      </c>
      <c r="AB23">
        <v>1</v>
      </c>
      <c r="AC23">
        <v>10</v>
      </c>
      <c r="AD23">
        <v>9</v>
      </c>
      <c r="AE23">
        <v>4</v>
      </c>
      <c r="AF23">
        <v>2</v>
      </c>
      <c r="AG23">
        <v>0</v>
      </c>
      <c r="AH23">
        <v>0.58823529411764708</v>
      </c>
      <c r="AI23">
        <v>0.52941176470588236</v>
      </c>
      <c r="AJ23">
        <v>0.23529411764705882</v>
      </c>
      <c r="AK23">
        <v>0.11764705882352941</v>
      </c>
      <c r="AL23">
        <v>0</v>
      </c>
    </row>
    <row r="24" spans="1:38" x14ac:dyDescent="0.25">
      <c r="A24">
        <v>2025</v>
      </c>
      <c r="B24" t="s">
        <v>213</v>
      </c>
      <c r="C24" t="s">
        <v>31</v>
      </c>
      <c r="D24" t="str" cm="1">
        <f t="array" ref="D24">_xlfn.XLOOKUP(1,('26 WR'!A:A=E24)*('26 WR'!B:B=F24),'26 WR'!C:C)</f>
        <v>Sam Darnold</v>
      </c>
      <c r="E24" t="s">
        <v>67</v>
      </c>
      <c r="F24">
        <v>23</v>
      </c>
      <c r="G24">
        <v>100</v>
      </c>
      <c r="H24">
        <v>23.2</v>
      </c>
      <c r="I24">
        <v>4.8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19.899999999999999</v>
      </c>
      <c r="Q24">
        <v>16.7</v>
      </c>
      <c r="R24">
        <v>8</v>
      </c>
      <c r="S24">
        <v>2.5</v>
      </c>
      <c r="T24">
        <v>0</v>
      </c>
      <c r="U24">
        <v>20.399999999999999</v>
      </c>
      <c r="V24">
        <v>24.5</v>
      </c>
      <c r="W24">
        <v>9.3000000000000007</v>
      </c>
      <c r="X24">
        <v>0</v>
      </c>
      <c r="Y24">
        <f t="shared" si="0"/>
        <v>129.30000000000001</v>
      </c>
      <c r="Z24">
        <v>13.7</v>
      </c>
      <c r="AA24">
        <v>10</v>
      </c>
      <c r="AB24">
        <v>1</v>
      </c>
      <c r="AC24">
        <v>5</v>
      </c>
      <c r="AD24">
        <v>5</v>
      </c>
      <c r="AE24">
        <v>3</v>
      </c>
      <c r="AF24">
        <v>0</v>
      </c>
      <c r="AG24">
        <v>0</v>
      </c>
      <c r="AH24">
        <v>0.29411764705882354</v>
      </c>
      <c r="AI24">
        <v>0.5</v>
      </c>
      <c r="AJ24">
        <v>0.3</v>
      </c>
      <c r="AK24">
        <v>0</v>
      </c>
      <c r="AL24">
        <v>0</v>
      </c>
    </row>
    <row r="25" spans="1:38" x14ac:dyDescent="0.25">
      <c r="A25">
        <v>2025</v>
      </c>
      <c r="B25" t="s">
        <v>219</v>
      </c>
      <c r="C25" t="s">
        <v>108</v>
      </c>
      <c r="D25" t="str" cm="1">
        <f t="array" ref="D25">_xlfn.XLOOKUP(1,('26 WR'!A:A=E25)*('26 WR'!B:B=F25),'26 WR'!C:C)</f>
        <v>Cam Ward</v>
      </c>
      <c r="E25" t="s">
        <v>67</v>
      </c>
      <c r="F25">
        <v>24</v>
      </c>
      <c r="G25">
        <v>103</v>
      </c>
      <c r="H25">
        <v>25.7</v>
      </c>
      <c r="I25">
        <v>12.4</v>
      </c>
      <c r="J25">
        <v>12.7</v>
      </c>
      <c r="K25">
        <v>12.8</v>
      </c>
      <c r="L25">
        <v>0</v>
      </c>
      <c r="M25">
        <v>17.5</v>
      </c>
      <c r="N25">
        <v>24.6</v>
      </c>
      <c r="O25">
        <v>16.8</v>
      </c>
      <c r="P25">
        <v>12.1</v>
      </c>
      <c r="Q25">
        <v>8.4</v>
      </c>
      <c r="R25">
        <v>9.4</v>
      </c>
      <c r="S25">
        <v>0</v>
      </c>
      <c r="T25">
        <v>2.7</v>
      </c>
      <c r="U25">
        <v>20.5</v>
      </c>
      <c r="V25">
        <v>17</v>
      </c>
      <c r="W25">
        <v>15.5</v>
      </c>
      <c r="X25">
        <v>7.3</v>
      </c>
      <c r="Y25">
        <f t="shared" si="0"/>
        <v>215.4</v>
      </c>
      <c r="Z25">
        <v>14.6</v>
      </c>
      <c r="AA25">
        <v>18</v>
      </c>
      <c r="AB25">
        <v>1</v>
      </c>
      <c r="AC25">
        <v>12</v>
      </c>
      <c r="AD25">
        <v>8</v>
      </c>
      <c r="AE25">
        <v>3</v>
      </c>
      <c r="AF25">
        <v>1</v>
      </c>
      <c r="AG25">
        <v>0</v>
      </c>
      <c r="AH25">
        <v>0.70588235294117652</v>
      </c>
      <c r="AI25">
        <v>0.5</v>
      </c>
      <c r="AJ25">
        <v>0.1875</v>
      </c>
      <c r="AK25">
        <v>6.25E-2</v>
      </c>
      <c r="AL25">
        <v>0</v>
      </c>
    </row>
    <row r="26" spans="1:38" x14ac:dyDescent="0.25">
      <c r="A26">
        <v>2025</v>
      </c>
      <c r="B26" t="s">
        <v>222</v>
      </c>
      <c r="C26" t="s">
        <v>39</v>
      </c>
      <c r="D26" t="str" cm="1">
        <f t="array" ref="D26">_xlfn.XLOOKUP(1,('26 WR'!A:A=E26)*('26 WR'!B:B=F26),'26 WR'!C:C)</f>
        <v>Daniel Jones</v>
      </c>
      <c r="E26" t="s">
        <v>67</v>
      </c>
      <c r="F26">
        <v>25</v>
      </c>
      <c r="G26">
        <v>105</v>
      </c>
      <c r="H26">
        <v>9.6999999999999993</v>
      </c>
      <c r="I26">
        <v>15</v>
      </c>
      <c r="J26">
        <v>12.4</v>
      </c>
      <c r="K26">
        <v>18.399999999999999</v>
      </c>
      <c r="L26">
        <v>28.8</v>
      </c>
      <c r="M26">
        <v>0</v>
      </c>
      <c r="N26">
        <v>14.7</v>
      </c>
      <c r="O26">
        <v>22.7</v>
      </c>
      <c r="P26">
        <v>4.4000000000000004</v>
      </c>
      <c r="Q26">
        <v>0</v>
      </c>
      <c r="R26">
        <v>0</v>
      </c>
      <c r="S26">
        <v>0</v>
      </c>
      <c r="T26">
        <v>10</v>
      </c>
      <c r="U26">
        <v>12.6</v>
      </c>
      <c r="V26">
        <v>23.4</v>
      </c>
      <c r="W26">
        <v>11.5</v>
      </c>
      <c r="X26">
        <v>15.8</v>
      </c>
      <c r="Y26">
        <f t="shared" si="0"/>
        <v>199.40000000000003</v>
      </c>
      <c r="Z26">
        <v>15.5</v>
      </c>
      <c r="AA26">
        <v>11</v>
      </c>
      <c r="AB26">
        <v>1</v>
      </c>
      <c r="AC26">
        <v>11</v>
      </c>
      <c r="AD26">
        <v>6</v>
      </c>
      <c r="AE26">
        <v>3</v>
      </c>
      <c r="AF26">
        <v>1</v>
      </c>
      <c r="AG26">
        <v>0</v>
      </c>
      <c r="AH26">
        <v>0.6470588235294118</v>
      </c>
      <c r="AI26">
        <v>0.42857142857142855</v>
      </c>
      <c r="AJ26">
        <v>0.21428571428571427</v>
      </c>
      <c r="AK26">
        <v>7.1428571428571425E-2</v>
      </c>
      <c r="AL26">
        <v>0</v>
      </c>
    </row>
    <row r="27" spans="1:38" x14ac:dyDescent="0.25">
      <c r="A27">
        <v>2025</v>
      </c>
      <c r="B27" t="s">
        <v>232</v>
      </c>
      <c r="C27" t="s">
        <v>55</v>
      </c>
      <c r="D27" t="str" cm="1">
        <f t="array" ref="D27">_xlfn.XLOOKUP(1,('26 WR'!A:A=E27)*('26 WR'!B:B=F27),'26 WR'!C:C)</f>
        <v>Bryce Young</v>
      </c>
      <c r="E27" t="s">
        <v>67</v>
      </c>
      <c r="F27">
        <v>26</v>
      </c>
      <c r="G27">
        <v>107</v>
      </c>
      <c r="H27">
        <v>29.5</v>
      </c>
      <c r="I27">
        <v>22.8</v>
      </c>
      <c r="J27">
        <v>15.8</v>
      </c>
      <c r="K27">
        <v>12.4</v>
      </c>
      <c r="L27">
        <v>16.7</v>
      </c>
      <c r="M27">
        <v>23.5</v>
      </c>
      <c r="N27">
        <v>22.2</v>
      </c>
      <c r="O27">
        <v>23.2</v>
      </c>
      <c r="P27">
        <v>17.100000000000001</v>
      </c>
      <c r="Q27">
        <v>16.5</v>
      </c>
      <c r="R27">
        <v>0</v>
      </c>
      <c r="S27">
        <v>16.8</v>
      </c>
      <c r="T27">
        <v>16.100000000000001</v>
      </c>
      <c r="U27">
        <v>1.8</v>
      </c>
      <c r="V27">
        <v>0</v>
      </c>
      <c r="W27">
        <v>0</v>
      </c>
      <c r="X27">
        <v>0</v>
      </c>
      <c r="Y27">
        <f t="shared" si="0"/>
        <v>234.4</v>
      </c>
      <c r="Z27">
        <v>18</v>
      </c>
      <c r="AA27">
        <v>17</v>
      </c>
      <c r="AB27">
        <v>1</v>
      </c>
      <c r="AC27">
        <v>12</v>
      </c>
      <c r="AD27">
        <v>11</v>
      </c>
      <c r="AE27">
        <v>5</v>
      </c>
      <c r="AF27">
        <v>1</v>
      </c>
      <c r="AG27">
        <v>0</v>
      </c>
      <c r="AH27">
        <v>0.70588235294117652</v>
      </c>
      <c r="AI27">
        <v>0.84615384615384615</v>
      </c>
      <c r="AJ27">
        <v>0.38461538461538464</v>
      </c>
      <c r="AK27">
        <v>7.6923076923076927E-2</v>
      </c>
      <c r="AL27">
        <v>0</v>
      </c>
    </row>
    <row r="28" spans="1:38" x14ac:dyDescent="0.25">
      <c r="A28">
        <v>2025</v>
      </c>
      <c r="B28" t="s">
        <v>234</v>
      </c>
      <c r="C28" t="s">
        <v>43</v>
      </c>
      <c r="D28" t="str" cm="1">
        <f t="array" ref="D28">_xlfn.XLOOKUP(1,('26 WR'!A:A=E28)*('26 WR'!B:B=F28),'26 WR'!C:C)</f>
        <v>Jacoby Brissett</v>
      </c>
      <c r="E28" t="s">
        <v>67</v>
      </c>
      <c r="F28">
        <v>27</v>
      </c>
      <c r="G28">
        <v>111</v>
      </c>
      <c r="H28">
        <v>0</v>
      </c>
      <c r="I28">
        <v>0.3</v>
      </c>
      <c r="J28">
        <v>0.3</v>
      </c>
      <c r="K28">
        <v>19.8</v>
      </c>
      <c r="L28">
        <v>17.600000000000001</v>
      </c>
      <c r="M28">
        <v>23.6</v>
      </c>
      <c r="N28">
        <v>29.4</v>
      </c>
      <c r="O28">
        <v>19.399999999999999</v>
      </c>
      <c r="P28">
        <v>27.2</v>
      </c>
      <c r="Q28">
        <v>26.3</v>
      </c>
      <c r="R28">
        <v>0</v>
      </c>
      <c r="S28">
        <v>0</v>
      </c>
      <c r="T28">
        <v>13.6</v>
      </c>
      <c r="U28">
        <v>0</v>
      </c>
      <c r="V28">
        <v>23.1</v>
      </c>
      <c r="W28">
        <v>1</v>
      </c>
      <c r="X28">
        <v>25.1</v>
      </c>
      <c r="Y28">
        <f t="shared" si="0"/>
        <v>226.7</v>
      </c>
      <c r="Z28">
        <v>17.600000000000001</v>
      </c>
      <c r="AA28">
        <v>14</v>
      </c>
      <c r="AB28">
        <v>1</v>
      </c>
      <c r="AC28">
        <v>11</v>
      </c>
      <c r="AD28">
        <v>10</v>
      </c>
      <c r="AE28">
        <v>7</v>
      </c>
      <c r="AF28">
        <v>4</v>
      </c>
      <c r="AG28">
        <v>0</v>
      </c>
      <c r="AH28">
        <v>0.6470588235294118</v>
      </c>
      <c r="AI28">
        <v>0.7142857142857143</v>
      </c>
      <c r="AJ28">
        <v>0.5</v>
      </c>
      <c r="AK28">
        <v>0.2857142857142857</v>
      </c>
      <c r="AL28">
        <v>0</v>
      </c>
    </row>
    <row r="29" spans="1:38" x14ac:dyDescent="0.25">
      <c r="A29">
        <v>2025</v>
      </c>
      <c r="B29" t="s">
        <v>235</v>
      </c>
      <c r="C29" t="s">
        <v>61</v>
      </c>
      <c r="D29" t="str" cm="1">
        <f t="array" ref="D29">_xlfn.XLOOKUP(1,('26 WR'!A:A=E29)*('26 WR'!B:B=F29),'26 WR'!C:C)</f>
        <v>Geno Smith</v>
      </c>
      <c r="E29" t="s">
        <v>67</v>
      </c>
      <c r="F29">
        <v>28</v>
      </c>
      <c r="G29">
        <v>119</v>
      </c>
      <c r="H29">
        <v>15.9</v>
      </c>
      <c r="I29">
        <v>20.9</v>
      </c>
      <c r="J29">
        <v>12.1</v>
      </c>
      <c r="K29">
        <v>26.3</v>
      </c>
      <c r="L29">
        <v>0</v>
      </c>
      <c r="M29">
        <v>16</v>
      </c>
      <c r="N29">
        <v>13.4</v>
      </c>
      <c r="O29">
        <v>28.3</v>
      </c>
      <c r="P29">
        <v>10</v>
      </c>
      <c r="Q29">
        <v>7.8</v>
      </c>
      <c r="R29">
        <v>17.7</v>
      </c>
      <c r="S29">
        <v>7.1</v>
      </c>
      <c r="T29">
        <v>25.8</v>
      </c>
      <c r="U29">
        <v>20.3</v>
      </c>
      <c r="V29">
        <v>15.9</v>
      </c>
      <c r="W29">
        <v>3.8</v>
      </c>
      <c r="X29">
        <v>0</v>
      </c>
      <c r="Y29">
        <f t="shared" si="0"/>
        <v>241.30000000000004</v>
      </c>
      <c r="Z29">
        <v>16.100000000000001</v>
      </c>
      <c r="AA29">
        <v>15</v>
      </c>
      <c r="AB29">
        <v>1</v>
      </c>
      <c r="AC29">
        <v>11</v>
      </c>
      <c r="AD29">
        <v>9</v>
      </c>
      <c r="AE29">
        <v>5</v>
      </c>
      <c r="AF29">
        <v>3</v>
      </c>
      <c r="AG29">
        <v>0</v>
      </c>
      <c r="AH29">
        <v>0.6470588235294118</v>
      </c>
      <c r="AI29">
        <v>0.6</v>
      </c>
      <c r="AJ29">
        <v>0.33333333333333331</v>
      </c>
      <c r="AK29">
        <v>0.2</v>
      </c>
      <c r="AL29">
        <v>0</v>
      </c>
    </row>
    <row r="30" spans="1:38" x14ac:dyDescent="0.25">
      <c r="A30">
        <v>2025</v>
      </c>
      <c r="B30" t="s">
        <v>249</v>
      </c>
      <c r="C30" t="s">
        <v>43</v>
      </c>
      <c r="D30" t="str" cm="1">
        <f t="array" ref="D30">_xlfn.XLOOKUP(1,('26 WR'!A:A=E30)*('26 WR'!B:B=F30),'26 WR'!C:C)</f>
        <v>Aaron Rodgers</v>
      </c>
      <c r="E30" t="s">
        <v>67</v>
      </c>
      <c r="F30">
        <v>29</v>
      </c>
      <c r="G30">
        <v>130</v>
      </c>
      <c r="H30">
        <v>11.1</v>
      </c>
      <c r="I30">
        <v>31.3</v>
      </c>
      <c r="J30">
        <v>7.1</v>
      </c>
      <c r="K30">
        <v>0.3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f t="shared" si="0"/>
        <v>52.8</v>
      </c>
      <c r="Z30">
        <v>8.8000000000000007</v>
      </c>
      <c r="AA30">
        <v>44</v>
      </c>
      <c r="AB30">
        <v>1</v>
      </c>
      <c r="AC30">
        <v>2</v>
      </c>
      <c r="AD30">
        <v>1</v>
      </c>
      <c r="AE30">
        <v>1</v>
      </c>
      <c r="AF30">
        <v>1</v>
      </c>
      <c r="AG30">
        <v>1</v>
      </c>
      <c r="AH30">
        <v>0.11764705882352941</v>
      </c>
      <c r="AI30">
        <v>0.16666666666666666</v>
      </c>
      <c r="AJ30">
        <v>0.16666666666666666</v>
      </c>
      <c r="AK30">
        <v>0.16666666666666666</v>
      </c>
      <c r="AL30">
        <v>0.16666666666666666</v>
      </c>
    </row>
    <row r="31" spans="1:38" x14ac:dyDescent="0.25">
      <c r="A31">
        <v>2025</v>
      </c>
      <c r="B31" t="s">
        <v>251</v>
      </c>
      <c r="C31" t="s">
        <v>21</v>
      </c>
      <c r="D31" t="str" cm="1">
        <f t="array" ref="D31">_xlfn.XLOOKUP(1,('26 WR'!A:A=E31)*('26 WR'!B:B=F31),'26 WR'!C:C)</f>
        <v>Fernando Mendoza</v>
      </c>
      <c r="E31" t="s">
        <v>67</v>
      </c>
      <c r="F31">
        <v>30</v>
      </c>
      <c r="G31">
        <v>141</v>
      </c>
      <c r="H31">
        <v>14.2</v>
      </c>
      <c r="I31">
        <v>9.8000000000000007</v>
      </c>
      <c r="J31">
        <v>4.7</v>
      </c>
      <c r="K31">
        <v>3.3</v>
      </c>
      <c r="L31">
        <v>0</v>
      </c>
      <c r="M31">
        <v>18.8</v>
      </c>
      <c r="N31">
        <v>26</v>
      </c>
      <c r="O31">
        <v>24.3</v>
      </c>
      <c r="P31">
        <v>32.700000000000003</v>
      </c>
      <c r="Q31">
        <v>0</v>
      </c>
      <c r="R31">
        <v>10.9</v>
      </c>
      <c r="S31">
        <v>10.6</v>
      </c>
      <c r="T31">
        <v>0</v>
      </c>
      <c r="U31">
        <v>0</v>
      </c>
      <c r="V31">
        <v>0</v>
      </c>
      <c r="W31">
        <v>0.2</v>
      </c>
      <c r="X31">
        <v>1.2</v>
      </c>
      <c r="Y31">
        <f t="shared" si="0"/>
        <v>156.69999999999999</v>
      </c>
      <c r="Z31">
        <v>12.1</v>
      </c>
      <c r="AA31">
        <v>19</v>
      </c>
      <c r="AB31">
        <v>1</v>
      </c>
      <c r="AC31">
        <v>7</v>
      </c>
      <c r="AD31">
        <v>4</v>
      </c>
      <c r="AE31">
        <v>3</v>
      </c>
      <c r="AF31">
        <v>2</v>
      </c>
      <c r="AG31">
        <v>1</v>
      </c>
      <c r="AH31">
        <v>0.41176470588235292</v>
      </c>
      <c r="AI31">
        <v>0.30769230769230771</v>
      </c>
      <c r="AJ31">
        <v>0.23076923076923078</v>
      </c>
      <c r="AK31">
        <v>0.15384615384615385</v>
      </c>
      <c r="AL31">
        <v>7.6923076923076927E-2</v>
      </c>
    </row>
    <row r="32" spans="1:38" x14ac:dyDescent="0.25">
      <c r="A32">
        <v>2025</v>
      </c>
      <c r="B32" t="s">
        <v>261</v>
      </c>
      <c r="C32" t="s">
        <v>96</v>
      </c>
      <c r="D32" t="str" cm="1">
        <f t="array" ref="D32">_xlfn.XLOOKUP(1,('26 WR'!A:A=E32)*('26 WR'!B:B=F32),'26 WR'!C:C)</f>
        <v>Michael Penix Jr.</v>
      </c>
      <c r="E32" t="s">
        <v>67</v>
      </c>
      <c r="F32">
        <v>31</v>
      </c>
      <c r="G32">
        <v>145</v>
      </c>
      <c r="H32">
        <v>11.5</v>
      </c>
      <c r="I32">
        <v>21.7</v>
      </c>
      <c r="J32">
        <v>12.7</v>
      </c>
      <c r="K32">
        <v>13.9</v>
      </c>
      <c r="L32">
        <v>15.1</v>
      </c>
      <c r="M32">
        <v>11.1</v>
      </c>
      <c r="N32">
        <v>13.5</v>
      </c>
      <c r="O32">
        <v>3.6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f t="shared" si="0"/>
        <v>103.1</v>
      </c>
      <c r="Z32">
        <v>11.5</v>
      </c>
      <c r="AA32">
        <v>36</v>
      </c>
      <c r="AB32">
        <v>1</v>
      </c>
      <c r="AC32">
        <v>7</v>
      </c>
      <c r="AD32">
        <v>2</v>
      </c>
      <c r="AE32">
        <v>1</v>
      </c>
      <c r="AF32">
        <v>0</v>
      </c>
      <c r="AG32">
        <v>0</v>
      </c>
      <c r="AH32">
        <v>0.41176470588235292</v>
      </c>
      <c r="AI32">
        <v>0.22222222222222221</v>
      </c>
      <c r="AJ32">
        <v>0.1111111111111111</v>
      </c>
      <c r="AK32">
        <v>0</v>
      </c>
      <c r="AL32">
        <v>0</v>
      </c>
    </row>
    <row r="33" spans="1:38" x14ac:dyDescent="0.25">
      <c r="A33">
        <v>2025</v>
      </c>
      <c r="B33" t="s">
        <v>278</v>
      </c>
      <c r="C33" t="s">
        <v>96</v>
      </c>
      <c r="D33" t="str" cm="1">
        <f t="array" ref="D33">_xlfn.XLOOKUP(1,('26 WR'!A:A=E33)*('26 WR'!B:B=F33),'26 WR'!C:C)</f>
        <v>Tua Tagovailoa</v>
      </c>
      <c r="E33" t="s">
        <v>67</v>
      </c>
      <c r="F33">
        <v>32</v>
      </c>
      <c r="G33">
        <v>153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5.3</v>
      </c>
      <c r="P33">
        <v>10.199999999999999</v>
      </c>
      <c r="Q33">
        <v>19</v>
      </c>
      <c r="R33">
        <v>0</v>
      </c>
      <c r="S33">
        <v>8.9</v>
      </c>
      <c r="T33">
        <v>18.399999999999999</v>
      </c>
      <c r="U33">
        <v>22.3</v>
      </c>
      <c r="V33">
        <v>18.100000000000001</v>
      </c>
      <c r="W33">
        <v>17.100000000000001</v>
      </c>
      <c r="X33">
        <v>21.9</v>
      </c>
      <c r="Y33">
        <f t="shared" si="0"/>
        <v>141.19999999999999</v>
      </c>
      <c r="Z33">
        <v>14.9</v>
      </c>
      <c r="AA33">
        <v>18</v>
      </c>
      <c r="AB33">
        <v>1</v>
      </c>
      <c r="AC33">
        <v>8</v>
      </c>
      <c r="AD33">
        <v>7</v>
      </c>
      <c r="AE33">
        <v>3</v>
      </c>
      <c r="AF33">
        <v>0</v>
      </c>
      <c r="AG33">
        <v>0</v>
      </c>
      <c r="AH33">
        <v>0.47058823529411764</v>
      </c>
      <c r="AI33">
        <v>0.63636363636363635</v>
      </c>
      <c r="AJ33">
        <v>0.27272727272727271</v>
      </c>
      <c r="AK33">
        <v>0</v>
      </c>
      <c r="AL33">
        <v>0</v>
      </c>
    </row>
    <row r="34" spans="1:38" x14ac:dyDescent="0.25">
      <c r="A34">
        <v>2025</v>
      </c>
      <c r="B34" t="s">
        <v>287</v>
      </c>
      <c r="C34" t="s">
        <v>51</v>
      </c>
      <c r="D34" t="str" cm="1">
        <f t="array" ref="D34">_xlfn.XLOOKUP(1,('26 WR'!A:A=E34)*('26 WR'!B:B=F34),'26 WR'!C:C)</f>
        <v>Shedeur Sanders</v>
      </c>
      <c r="E34" t="s">
        <v>67</v>
      </c>
      <c r="F34">
        <v>33</v>
      </c>
      <c r="G34">
        <v>162</v>
      </c>
      <c r="H34">
        <v>11.3</v>
      </c>
      <c r="I34">
        <v>21.2</v>
      </c>
      <c r="J34">
        <v>8.8000000000000007</v>
      </c>
      <c r="K34">
        <v>11.7</v>
      </c>
      <c r="L34">
        <v>27.2</v>
      </c>
      <c r="M34">
        <v>19.2</v>
      </c>
      <c r="N34">
        <v>17.600000000000001</v>
      </c>
      <c r="O34">
        <v>0</v>
      </c>
      <c r="P34">
        <v>22.2</v>
      </c>
      <c r="Q34">
        <v>10.8</v>
      </c>
      <c r="R34">
        <v>16</v>
      </c>
      <c r="S34">
        <v>20.100000000000001</v>
      </c>
      <c r="T34">
        <v>21.7</v>
      </c>
      <c r="U34">
        <v>19.399999999999999</v>
      </c>
      <c r="V34">
        <v>44.3</v>
      </c>
      <c r="W34">
        <v>31.2</v>
      </c>
      <c r="X34">
        <v>24.1</v>
      </c>
      <c r="Y34">
        <f t="shared" si="0"/>
        <v>326.8</v>
      </c>
      <c r="Z34">
        <v>20.6</v>
      </c>
      <c r="AA34">
        <v>4</v>
      </c>
      <c r="AB34">
        <v>1</v>
      </c>
      <c r="AC34">
        <v>16</v>
      </c>
      <c r="AD34">
        <v>13</v>
      </c>
      <c r="AE34">
        <v>9</v>
      </c>
      <c r="AF34">
        <v>3</v>
      </c>
      <c r="AG34">
        <v>2</v>
      </c>
      <c r="AH34">
        <v>0.94117647058823528</v>
      </c>
      <c r="AI34">
        <v>0.76470588235294112</v>
      </c>
      <c r="AJ34">
        <v>0.52941176470588236</v>
      </c>
      <c r="AK34">
        <v>0.17647058823529413</v>
      </c>
      <c r="AL34">
        <v>0.11764705882352941</v>
      </c>
    </row>
    <row r="35" spans="1:38" x14ac:dyDescent="0.25">
      <c r="A35">
        <v>2025</v>
      </c>
      <c r="B35" t="s">
        <v>304</v>
      </c>
      <c r="C35" t="s">
        <v>24</v>
      </c>
      <c r="D35" t="str" cm="1">
        <f t="array" ref="D35">_xlfn.XLOOKUP(1,('26 WR'!A:A=E35)*('26 WR'!B:B=F35),'26 WR'!C:C)</f>
        <v>Kirk Cousins</v>
      </c>
      <c r="E35" t="s">
        <v>67</v>
      </c>
      <c r="F35">
        <v>34</v>
      </c>
      <c r="G35">
        <v>171</v>
      </c>
      <c r="H35">
        <v>24</v>
      </c>
      <c r="I35">
        <v>5.3</v>
      </c>
      <c r="J35">
        <v>5.8</v>
      </c>
      <c r="K35">
        <v>19.7</v>
      </c>
      <c r="L35">
        <v>0</v>
      </c>
      <c r="M35">
        <v>14.6</v>
      </c>
      <c r="N35">
        <v>12.2</v>
      </c>
      <c r="O35">
        <v>0</v>
      </c>
      <c r="P35">
        <v>22.7</v>
      </c>
      <c r="Q35">
        <v>11</v>
      </c>
      <c r="R35">
        <v>7.9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f t="shared" si="0"/>
        <v>123.2</v>
      </c>
      <c r="Z35">
        <v>13.7</v>
      </c>
      <c r="AA35">
        <v>33</v>
      </c>
      <c r="AB35">
        <v>1</v>
      </c>
      <c r="AC35">
        <v>6</v>
      </c>
      <c r="AD35">
        <v>3</v>
      </c>
      <c r="AE35">
        <v>2</v>
      </c>
      <c r="AF35">
        <v>0</v>
      </c>
      <c r="AG35">
        <v>0</v>
      </c>
      <c r="AH35">
        <v>0.35294117647058826</v>
      </c>
      <c r="AI35">
        <v>0.33333333333333331</v>
      </c>
      <c r="AJ35">
        <v>0.22222222222222221</v>
      </c>
      <c r="AK35">
        <v>0</v>
      </c>
      <c r="AL35">
        <v>0</v>
      </c>
    </row>
    <row r="36" spans="1:38" x14ac:dyDescent="0.25">
      <c r="A36">
        <v>2025</v>
      </c>
      <c r="B36" t="s">
        <v>309</v>
      </c>
      <c r="C36" t="s">
        <v>61</v>
      </c>
      <c r="D36" t="str" cm="1">
        <f t="array" ref="D36">_xlfn.XLOOKUP(1,('26 WR'!A:A=E36)*('26 WR'!B:B=F36),'26 WR'!C:C)</f>
        <v>Deshaun Watson</v>
      </c>
      <c r="E36" t="s">
        <v>67</v>
      </c>
      <c r="F36">
        <v>35</v>
      </c>
      <c r="G36">
        <v>180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5.8</v>
      </c>
      <c r="S36">
        <v>0.6</v>
      </c>
      <c r="T36">
        <v>0</v>
      </c>
      <c r="U36">
        <v>0</v>
      </c>
      <c r="V36">
        <v>0</v>
      </c>
      <c r="W36">
        <v>13.2</v>
      </c>
      <c r="X36">
        <v>31.5</v>
      </c>
      <c r="Y36">
        <f t="shared" si="0"/>
        <v>51.099999999999994</v>
      </c>
      <c r="Z36">
        <v>12.8</v>
      </c>
      <c r="AA36">
        <v>45</v>
      </c>
      <c r="AB36">
        <v>1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0.11764705882352941</v>
      </c>
      <c r="AI36">
        <v>0.25</v>
      </c>
      <c r="AJ36">
        <v>0.25</v>
      </c>
      <c r="AK36">
        <v>0.25</v>
      </c>
      <c r="AL36">
        <v>0.25</v>
      </c>
    </row>
    <row r="37" spans="1:38" x14ac:dyDescent="0.25">
      <c r="A37">
        <v>2025</v>
      </c>
      <c r="B37" t="s">
        <v>312</v>
      </c>
      <c r="C37" t="s">
        <v>132</v>
      </c>
      <c r="D37" t="str" cm="1">
        <f t="array" ref="D37">_xlfn.XLOOKUP(1,('26 WR'!A:A=E37)*('26 WR'!B:B=F37),'26 WR'!C:C)</f>
        <v>J.J. McCarthy</v>
      </c>
      <c r="E37" t="s">
        <v>67</v>
      </c>
      <c r="F37">
        <v>36</v>
      </c>
      <c r="G37">
        <v>189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2.5</v>
      </c>
      <c r="S37">
        <v>11.3</v>
      </c>
      <c r="T37">
        <v>10.6</v>
      </c>
      <c r="U37">
        <v>34.5</v>
      </c>
      <c r="V37">
        <v>6.5</v>
      </c>
      <c r="W37">
        <v>13.2</v>
      </c>
      <c r="X37">
        <v>11.4</v>
      </c>
      <c r="Y37">
        <f t="shared" si="0"/>
        <v>90.000000000000014</v>
      </c>
      <c r="Z37">
        <v>11.9</v>
      </c>
      <c r="AA37">
        <v>37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0.29411764705882354</v>
      </c>
      <c r="AI37">
        <v>0.125</v>
      </c>
      <c r="AJ37">
        <v>0.125</v>
      </c>
      <c r="AK37">
        <v>0.125</v>
      </c>
      <c r="AL37">
        <v>0.125</v>
      </c>
    </row>
    <row r="38" spans="1:38" x14ac:dyDescent="0.25">
      <c r="A38">
        <v>2025</v>
      </c>
      <c r="B38" t="s">
        <v>333</v>
      </c>
      <c r="C38" t="s">
        <v>24</v>
      </c>
      <c r="D38" t="str" cm="1">
        <f t="array" ref="D38">_xlfn.XLOOKUP(1,('26 WR'!A:A=E38)*('26 WR'!B:B=F38),'26 WR'!C:C)</f>
        <v>Mac Jones</v>
      </c>
      <c r="E38" t="s">
        <v>67</v>
      </c>
      <c r="F38">
        <v>37</v>
      </c>
      <c r="G38">
        <v>193</v>
      </c>
      <c r="H38">
        <v>0</v>
      </c>
      <c r="I38">
        <v>0</v>
      </c>
      <c r="J38">
        <v>1.2</v>
      </c>
      <c r="K38">
        <v>0</v>
      </c>
      <c r="L38">
        <v>0</v>
      </c>
      <c r="M38">
        <v>0</v>
      </c>
      <c r="N38">
        <v>0</v>
      </c>
      <c r="O38">
        <v>7.1</v>
      </c>
      <c r="P38">
        <v>0</v>
      </c>
      <c r="Q38">
        <v>0</v>
      </c>
      <c r="R38">
        <v>2.1</v>
      </c>
      <c r="S38">
        <v>15.5</v>
      </c>
      <c r="T38">
        <v>13.4</v>
      </c>
      <c r="U38">
        <v>4.5</v>
      </c>
      <c r="V38">
        <v>26.9</v>
      </c>
      <c r="W38">
        <v>18.600000000000001</v>
      </c>
      <c r="X38">
        <v>9.1</v>
      </c>
      <c r="Y38">
        <f t="shared" si="0"/>
        <v>98.399999999999977</v>
      </c>
      <c r="Z38">
        <v>10.9</v>
      </c>
      <c r="AA38">
        <v>35</v>
      </c>
      <c r="AB38">
        <v>1</v>
      </c>
      <c r="AC38">
        <v>5</v>
      </c>
      <c r="AD38">
        <v>3</v>
      </c>
      <c r="AE38">
        <v>1</v>
      </c>
      <c r="AF38">
        <v>1</v>
      </c>
      <c r="AG38">
        <v>0</v>
      </c>
      <c r="AH38">
        <v>0.29411764705882354</v>
      </c>
      <c r="AI38">
        <v>0.3</v>
      </c>
      <c r="AJ38">
        <v>0.1</v>
      </c>
      <c r="AK38">
        <v>0.1</v>
      </c>
      <c r="AL38">
        <v>0</v>
      </c>
    </row>
    <row r="39" spans="1:38" x14ac:dyDescent="0.25">
      <c r="A39">
        <v>2025</v>
      </c>
      <c r="B39" t="s">
        <v>338</v>
      </c>
      <c r="C39" t="s">
        <v>132</v>
      </c>
      <c r="D39" t="str" cm="1">
        <f t="array" ref="D39">_xlfn.XLOOKUP(1,('26 WR'!A:A=E39)*('26 WR'!B:B=F39),'26 WR'!C:C)</f>
        <v>Carson Beck</v>
      </c>
      <c r="E39" t="s">
        <v>67</v>
      </c>
      <c r="F39">
        <v>38</v>
      </c>
      <c r="G39">
        <v>200</v>
      </c>
      <c r="H39">
        <v>0</v>
      </c>
      <c r="I39">
        <v>4.8</v>
      </c>
      <c r="J39">
        <v>0</v>
      </c>
      <c r="K39">
        <v>0</v>
      </c>
      <c r="L39">
        <v>16.100000000000001</v>
      </c>
      <c r="M39">
        <v>8.8000000000000007</v>
      </c>
      <c r="N39">
        <v>5.8</v>
      </c>
      <c r="O39">
        <v>13.5</v>
      </c>
      <c r="P39">
        <v>0</v>
      </c>
      <c r="Q39">
        <v>20.100000000000001</v>
      </c>
      <c r="R39">
        <v>2.9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f t="shared" si="0"/>
        <v>72</v>
      </c>
      <c r="Z39">
        <v>7.2</v>
      </c>
      <c r="AA39">
        <v>40</v>
      </c>
      <c r="AB39">
        <v>1</v>
      </c>
      <c r="AC39">
        <v>3</v>
      </c>
      <c r="AD39">
        <v>2</v>
      </c>
      <c r="AE39">
        <v>1</v>
      </c>
      <c r="AF39">
        <v>0</v>
      </c>
      <c r="AG39">
        <v>0</v>
      </c>
      <c r="AH39">
        <v>0.17647058823529413</v>
      </c>
      <c r="AI39">
        <v>0.2</v>
      </c>
      <c r="AJ39">
        <v>0.1</v>
      </c>
      <c r="AK39">
        <v>0</v>
      </c>
      <c r="AL39">
        <v>0</v>
      </c>
    </row>
    <row r="40" spans="1:38" x14ac:dyDescent="0.25">
      <c r="A40">
        <v>2025</v>
      </c>
      <c r="B40" t="s">
        <v>351</v>
      </c>
      <c r="C40" t="s">
        <v>26</v>
      </c>
      <c r="D40" t="str" cm="1">
        <f t="array" ref="D40">_xlfn.XLOOKUP(1,('26 WR'!A:A=E40)*('26 WR'!B:B=F40),'26 WR'!C:C)</f>
        <v>Ty Simpson</v>
      </c>
      <c r="E40" t="s">
        <v>67</v>
      </c>
      <c r="F40">
        <v>39</v>
      </c>
      <c r="G40">
        <v>205</v>
      </c>
      <c r="H40">
        <v>0</v>
      </c>
      <c r="I40">
        <v>21.8</v>
      </c>
      <c r="J40">
        <v>14.3</v>
      </c>
      <c r="K40">
        <v>0</v>
      </c>
      <c r="L40">
        <v>22.2</v>
      </c>
      <c r="M40">
        <v>13.2</v>
      </c>
      <c r="N40">
        <v>6.2</v>
      </c>
      <c r="O40">
        <v>19</v>
      </c>
      <c r="P40">
        <v>15.8</v>
      </c>
      <c r="Q40">
        <v>24.1</v>
      </c>
      <c r="R40">
        <v>0.3</v>
      </c>
      <c r="S40">
        <v>0</v>
      </c>
      <c r="T40">
        <v>0.2</v>
      </c>
      <c r="U40">
        <v>0</v>
      </c>
      <c r="V40">
        <v>0</v>
      </c>
      <c r="W40">
        <v>0.3</v>
      </c>
      <c r="X40">
        <v>0</v>
      </c>
      <c r="Y40">
        <f t="shared" si="0"/>
        <v>137.4</v>
      </c>
      <c r="Z40">
        <v>12.4</v>
      </c>
      <c r="AA40">
        <v>20</v>
      </c>
      <c r="AB40">
        <v>1</v>
      </c>
      <c r="AC40">
        <v>7</v>
      </c>
      <c r="AD40">
        <v>5</v>
      </c>
      <c r="AE40">
        <v>3</v>
      </c>
      <c r="AF40">
        <v>0</v>
      </c>
      <c r="AG40">
        <v>0</v>
      </c>
      <c r="AH40">
        <v>0.41176470588235292</v>
      </c>
      <c r="AI40">
        <v>0.45454545454545453</v>
      </c>
      <c r="AJ40">
        <v>0.27272727272727271</v>
      </c>
      <c r="AK40">
        <v>0</v>
      </c>
      <c r="AL40">
        <v>0</v>
      </c>
    </row>
    <row r="41" spans="1:38" x14ac:dyDescent="0.25">
      <c r="A41">
        <v>2025</v>
      </c>
      <c r="B41" t="s">
        <v>352</v>
      </c>
      <c r="C41" t="s">
        <v>21</v>
      </c>
      <c r="D41" t="str" cm="1">
        <f t="array" ref="D41">_xlfn.XLOOKUP(1,('26 WR'!A:A=E41)*('26 WR'!B:B=F41),'26 WR'!C:C)</f>
        <v>Justin Fields</v>
      </c>
      <c r="E41" t="s">
        <v>67</v>
      </c>
      <c r="F41">
        <v>40</v>
      </c>
      <c r="G41">
        <v>217</v>
      </c>
      <c r="H41">
        <v>0</v>
      </c>
      <c r="I41">
        <v>20.7</v>
      </c>
      <c r="J41">
        <v>7.9</v>
      </c>
      <c r="K41">
        <v>5.4</v>
      </c>
      <c r="L41">
        <v>22.1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f t="shared" si="0"/>
        <v>56.7</v>
      </c>
      <c r="Z41">
        <v>11.3</v>
      </c>
      <c r="AA41">
        <v>43</v>
      </c>
      <c r="AB41">
        <v>1</v>
      </c>
      <c r="AC41">
        <v>2</v>
      </c>
      <c r="AD41">
        <v>2</v>
      </c>
      <c r="AE41">
        <v>2</v>
      </c>
      <c r="AF41">
        <v>0</v>
      </c>
      <c r="AG41">
        <v>0</v>
      </c>
      <c r="AH41">
        <v>0.11764705882352941</v>
      </c>
      <c r="AI41">
        <v>0.4</v>
      </c>
      <c r="AJ41">
        <v>0.4</v>
      </c>
      <c r="AK41">
        <v>0</v>
      </c>
      <c r="AL41">
        <v>0</v>
      </c>
    </row>
    <row r="42" spans="1:38" x14ac:dyDescent="0.25">
      <c r="A42">
        <v>2025</v>
      </c>
      <c r="B42" t="s">
        <v>22</v>
      </c>
      <c r="C42" t="s">
        <v>24</v>
      </c>
      <c r="D42" t="str" cm="1">
        <f t="array" ref="D42">_xlfn.XLOOKUP(1,('26 WR'!A:A=E42)*('26 WR'!B:B=F42),'26 WR'!C:C)</f>
        <v>Bijan Robinson</v>
      </c>
      <c r="E42" t="s">
        <v>23</v>
      </c>
      <c r="F42">
        <v>1</v>
      </c>
      <c r="G42">
        <v>3</v>
      </c>
      <c r="H42">
        <v>24.4</v>
      </c>
      <c r="I42">
        <v>19.8</v>
      </c>
      <c r="J42">
        <v>16.100000000000001</v>
      </c>
      <c r="K42">
        <v>28.1</v>
      </c>
      <c r="L42">
        <v>0</v>
      </c>
      <c r="M42">
        <v>35.799999999999997</v>
      </c>
      <c r="N42">
        <v>21.2</v>
      </c>
      <c r="O42">
        <v>5.8</v>
      </c>
      <c r="P42">
        <v>17.600000000000001</v>
      </c>
      <c r="Q42">
        <v>10.8</v>
      </c>
      <c r="R42">
        <v>30.3</v>
      </c>
      <c r="S42">
        <v>14.7</v>
      </c>
      <c r="T42">
        <v>30.3</v>
      </c>
      <c r="U42">
        <v>9.4</v>
      </c>
      <c r="V42">
        <v>29.5</v>
      </c>
      <c r="W42">
        <v>29.8</v>
      </c>
      <c r="X42">
        <v>39.9</v>
      </c>
      <c r="Y42">
        <f t="shared" si="0"/>
        <v>363.5</v>
      </c>
      <c r="Z42">
        <v>21.8</v>
      </c>
      <c r="AA42">
        <v>1</v>
      </c>
      <c r="AB42">
        <v>1</v>
      </c>
      <c r="AC42">
        <v>14</v>
      </c>
      <c r="AD42">
        <v>12</v>
      </c>
      <c r="AE42">
        <v>9</v>
      </c>
      <c r="AF42">
        <v>7</v>
      </c>
      <c r="AG42">
        <v>4</v>
      </c>
      <c r="AH42">
        <v>0.82352941176470584</v>
      </c>
      <c r="AI42">
        <v>0.70588235294117652</v>
      </c>
      <c r="AJ42">
        <v>0.52941176470588236</v>
      </c>
      <c r="AK42">
        <v>0.41176470588235292</v>
      </c>
      <c r="AL42">
        <v>0.23529411764705882</v>
      </c>
    </row>
    <row r="43" spans="1:38" x14ac:dyDescent="0.25">
      <c r="A43">
        <v>2025</v>
      </c>
      <c r="B43" t="s">
        <v>25</v>
      </c>
      <c r="C43" t="s">
        <v>26</v>
      </c>
      <c r="D43" t="str" cm="1">
        <f t="array" ref="D43">_xlfn.XLOOKUP(1,('26 WR'!A:A=E43)*('26 WR'!B:B=F43),'26 WR'!C:C)</f>
        <v>Jahmyr Gibbs</v>
      </c>
      <c r="E43" t="s">
        <v>23</v>
      </c>
      <c r="F43">
        <v>2</v>
      </c>
      <c r="G43">
        <v>4</v>
      </c>
      <c r="H43">
        <v>23.2</v>
      </c>
      <c r="I43">
        <v>22.7</v>
      </c>
      <c r="J43">
        <v>24</v>
      </c>
      <c r="K43">
        <v>26.1</v>
      </c>
      <c r="L43">
        <v>27.9</v>
      </c>
      <c r="M43">
        <v>24.1</v>
      </c>
      <c r="N43">
        <v>39.1</v>
      </c>
      <c r="O43">
        <v>9.8000000000000007</v>
      </c>
      <c r="P43">
        <v>34.299999999999997</v>
      </c>
      <c r="Q43">
        <v>17.600000000000001</v>
      </c>
      <c r="R43">
        <v>35.1</v>
      </c>
      <c r="S43">
        <v>27.2</v>
      </c>
      <c r="T43">
        <v>17.399999999999999</v>
      </c>
      <c r="U43">
        <v>0</v>
      </c>
      <c r="V43">
        <v>15.7</v>
      </c>
      <c r="W43">
        <v>32.6</v>
      </c>
      <c r="X43">
        <v>28.1</v>
      </c>
      <c r="Y43">
        <f t="shared" si="0"/>
        <v>404.9</v>
      </c>
      <c r="Z43">
        <v>24.5</v>
      </c>
      <c r="AA43">
        <v>1</v>
      </c>
      <c r="AB43">
        <v>1</v>
      </c>
      <c r="AC43">
        <v>16</v>
      </c>
      <c r="AD43">
        <v>15</v>
      </c>
      <c r="AE43">
        <v>12</v>
      </c>
      <c r="AF43">
        <v>8</v>
      </c>
      <c r="AG43">
        <v>4</v>
      </c>
      <c r="AH43">
        <v>0.94117647058823528</v>
      </c>
      <c r="AI43">
        <v>0.88235294117647056</v>
      </c>
      <c r="AJ43">
        <v>0.70588235294117652</v>
      </c>
      <c r="AK43">
        <v>0.47058823529411764</v>
      </c>
      <c r="AL43">
        <v>0.23529411764705882</v>
      </c>
    </row>
    <row r="44" spans="1:38" x14ac:dyDescent="0.25">
      <c r="A44">
        <v>2025</v>
      </c>
      <c r="B44" t="s">
        <v>32</v>
      </c>
      <c r="C44" t="s">
        <v>33</v>
      </c>
      <c r="D44" t="str" cm="1">
        <f t="array" ref="D44">_xlfn.XLOOKUP(1,('26 WR'!A:A=E44)*('26 WR'!B:B=F44),'26 WR'!C:C)</f>
        <v>Christian McCaffrey</v>
      </c>
      <c r="E44" t="s">
        <v>23</v>
      </c>
      <c r="F44">
        <v>3</v>
      </c>
      <c r="G44">
        <v>8</v>
      </c>
      <c r="H44">
        <v>18.399999999999999</v>
      </c>
      <c r="I44">
        <v>17.399999999999999</v>
      </c>
      <c r="J44">
        <v>9.5</v>
      </c>
      <c r="K44">
        <v>17.399999999999999</v>
      </c>
      <c r="L44">
        <v>17.8</v>
      </c>
      <c r="M44">
        <v>8.6999999999999993</v>
      </c>
      <c r="N44">
        <v>5.2</v>
      </c>
      <c r="O44">
        <v>33.4</v>
      </c>
      <c r="P44">
        <v>0</v>
      </c>
      <c r="Q44">
        <v>13.1</v>
      </c>
      <c r="R44">
        <v>10</v>
      </c>
      <c r="S44">
        <v>12.4</v>
      </c>
      <c r="T44">
        <v>5.6</v>
      </c>
      <c r="U44">
        <v>18.2</v>
      </c>
      <c r="V44">
        <v>17.2</v>
      </c>
      <c r="W44">
        <v>21.2</v>
      </c>
      <c r="X44">
        <v>6.8</v>
      </c>
      <c r="Y44">
        <f t="shared" si="0"/>
        <v>232.29999999999998</v>
      </c>
      <c r="Z44">
        <v>14.5</v>
      </c>
      <c r="AA44">
        <v>1</v>
      </c>
      <c r="AB44">
        <v>1</v>
      </c>
      <c r="AC44">
        <v>10</v>
      </c>
      <c r="AD44">
        <v>8</v>
      </c>
      <c r="AE44">
        <v>2</v>
      </c>
      <c r="AF44">
        <v>1</v>
      </c>
      <c r="AG44">
        <v>1</v>
      </c>
      <c r="AH44">
        <v>0.58823529411764708</v>
      </c>
      <c r="AI44">
        <v>0.5</v>
      </c>
      <c r="AJ44">
        <v>0.125</v>
      </c>
      <c r="AK44">
        <v>6.25E-2</v>
      </c>
      <c r="AL44">
        <v>6.25E-2</v>
      </c>
    </row>
    <row r="45" spans="1:38" x14ac:dyDescent="0.25">
      <c r="A45">
        <v>2025</v>
      </c>
      <c r="B45" t="s">
        <v>36</v>
      </c>
      <c r="C45" t="s">
        <v>37</v>
      </c>
      <c r="D45" t="str" cm="1">
        <f t="array" ref="D45">_xlfn.XLOOKUP(1,('26 WR'!A:A=E45)*('26 WR'!B:B=F45),'26 WR'!C:C)</f>
        <v>Jonathan Taylor</v>
      </c>
      <c r="E45" t="s">
        <v>23</v>
      </c>
      <c r="F45">
        <v>4</v>
      </c>
      <c r="G45">
        <v>10</v>
      </c>
      <c r="H45">
        <v>15</v>
      </c>
      <c r="I45">
        <v>19.399999999999999</v>
      </c>
      <c r="J45">
        <v>26.9</v>
      </c>
      <c r="K45">
        <v>17.7</v>
      </c>
      <c r="L45">
        <v>16.7</v>
      </c>
      <c r="M45">
        <v>7.5</v>
      </c>
      <c r="N45">
        <v>36.799999999999997</v>
      </c>
      <c r="O45">
        <v>0</v>
      </c>
      <c r="P45">
        <v>5.8</v>
      </c>
      <c r="Q45">
        <v>38.200000000000003</v>
      </c>
      <c r="R45">
        <v>19.600000000000001</v>
      </c>
      <c r="S45">
        <v>55.4</v>
      </c>
      <c r="T45">
        <v>11.6</v>
      </c>
      <c r="U45">
        <v>37</v>
      </c>
      <c r="V45">
        <v>9.8000000000000007</v>
      </c>
      <c r="W45">
        <v>22.8</v>
      </c>
      <c r="X45">
        <v>6.4</v>
      </c>
      <c r="Y45">
        <f t="shared" si="0"/>
        <v>346.6</v>
      </c>
      <c r="Z45">
        <v>21.6</v>
      </c>
      <c r="AA45">
        <v>1</v>
      </c>
      <c r="AB45">
        <v>1</v>
      </c>
      <c r="AC45">
        <v>13</v>
      </c>
      <c r="AD45">
        <v>11</v>
      </c>
      <c r="AE45">
        <v>7</v>
      </c>
      <c r="AF45">
        <v>5</v>
      </c>
      <c r="AG45">
        <v>4</v>
      </c>
      <c r="AH45">
        <v>0.76470588235294112</v>
      </c>
      <c r="AI45">
        <v>0.6470588235294118</v>
      </c>
      <c r="AJ45">
        <v>0.41176470588235292</v>
      </c>
      <c r="AK45">
        <v>0.29411764705882354</v>
      </c>
      <c r="AL45">
        <v>0.23529411764705882</v>
      </c>
    </row>
    <row r="46" spans="1:38" x14ac:dyDescent="0.25">
      <c r="A46">
        <v>2025</v>
      </c>
      <c r="B46" t="s">
        <v>40</v>
      </c>
      <c r="C46" t="s">
        <v>41</v>
      </c>
      <c r="D46" t="str" cm="1">
        <f t="array" ref="D46">_xlfn.XLOOKUP(1,('26 WR'!A:A=E46)*('26 WR'!B:B=F46),'26 WR'!C:C)</f>
        <v>Ashton Jeanty</v>
      </c>
      <c r="E46" t="s">
        <v>23</v>
      </c>
      <c r="F46">
        <v>5</v>
      </c>
      <c r="G46">
        <v>13</v>
      </c>
      <c r="H46">
        <v>29.2</v>
      </c>
      <c r="I46">
        <v>2.2999999999999998</v>
      </c>
      <c r="J46">
        <v>10.7</v>
      </c>
      <c r="K46">
        <v>7.8</v>
      </c>
      <c r="L46">
        <v>9.3000000000000007</v>
      </c>
      <c r="M46">
        <v>14</v>
      </c>
      <c r="N46">
        <v>0</v>
      </c>
      <c r="O46">
        <v>19.100000000000001</v>
      </c>
      <c r="P46">
        <v>13.1</v>
      </c>
      <c r="Q46">
        <v>11.4</v>
      </c>
      <c r="R46">
        <v>20.2</v>
      </c>
      <c r="S46">
        <v>22.8</v>
      </c>
      <c r="T46">
        <v>17.399999999999999</v>
      </c>
      <c r="U46">
        <v>11.2</v>
      </c>
      <c r="V46">
        <v>10</v>
      </c>
      <c r="W46">
        <v>22.8</v>
      </c>
      <c r="X46">
        <v>45.6</v>
      </c>
      <c r="Y46">
        <f t="shared" si="0"/>
        <v>266.90000000000003</v>
      </c>
      <c r="Z46">
        <v>16.399999999999999</v>
      </c>
      <c r="AA46">
        <v>1</v>
      </c>
      <c r="AB46">
        <v>1</v>
      </c>
      <c r="AC46">
        <v>13</v>
      </c>
      <c r="AD46">
        <v>7</v>
      </c>
      <c r="AE46">
        <v>5</v>
      </c>
      <c r="AF46">
        <v>2</v>
      </c>
      <c r="AG46">
        <v>1</v>
      </c>
      <c r="AH46">
        <v>0.76470588235294112</v>
      </c>
      <c r="AI46">
        <v>0.41176470588235292</v>
      </c>
      <c r="AJ46">
        <v>0.29411764705882354</v>
      </c>
      <c r="AK46">
        <v>0.11764705882352941</v>
      </c>
      <c r="AL46">
        <v>5.8823529411764705E-2</v>
      </c>
    </row>
    <row r="47" spans="1:38" x14ac:dyDescent="0.25">
      <c r="A47">
        <v>2025</v>
      </c>
      <c r="B47" t="s">
        <v>47</v>
      </c>
      <c r="C47" t="s">
        <v>29</v>
      </c>
      <c r="D47" t="str" cm="1">
        <f t="array" ref="D47">_xlfn.XLOOKUP(1,('26 WR'!A:A=E47)*('26 WR'!B:B=F47),'26 WR'!C:C)</f>
        <v>James Cook III</v>
      </c>
      <c r="E47" t="s">
        <v>23</v>
      </c>
      <c r="F47">
        <v>6</v>
      </c>
      <c r="G47">
        <v>20</v>
      </c>
      <c r="H47">
        <v>12</v>
      </c>
      <c r="I47">
        <v>7.4</v>
      </c>
      <c r="J47">
        <v>6.3</v>
      </c>
      <c r="K47">
        <v>33.5</v>
      </c>
      <c r="L47">
        <v>15.9</v>
      </c>
      <c r="M47">
        <v>16.600000000000001</v>
      </c>
      <c r="N47">
        <v>4.4000000000000004</v>
      </c>
      <c r="O47">
        <v>0</v>
      </c>
      <c r="P47">
        <v>19.899999999999999</v>
      </c>
      <c r="Q47">
        <v>15.3</v>
      </c>
      <c r="R47">
        <v>9.4</v>
      </c>
      <c r="S47">
        <v>24.8</v>
      </c>
      <c r="T47">
        <v>12.1</v>
      </c>
      <c r="U47">
        <v>5.8</v>
      </c>
      <c r="V47">
        <v>8.1999999999999993</v>
      </c>
      <c r="W47">
        <v>31.8</v>
      </c>
      <c r="X47">
        <v>9.3000000000000007</v>
      </c>
      <c r="Y47">
        <f t="shared" si="0"/>
        <v>232.70000000000007</v>
      </c>
      <c r="Z47">
        <v>14.4</v>
      </c>
      <c r="AA47">
        <v>1</v>
      </c>
      <c r="AB47">
        <v>1</v>
      </c>
      <c r="AC47">
        <v>10</v>
      </c>
      <c r="AD47">
        <v>7</v>
      </c>
      <c r="AE47">
        <v>3</v>
      </c>
      <c r="AF47">
        <v>2</v>
      </c>
      <c r="AG47">
        <v>2</v>
      </c>
      <c r="AH47">
        <v>0.58823529411764708</v>
      </c>
      <c r="AI47">
        <v>0.41176470588235292</v>
      </c>
      <c r="AJ47">
        <v>0.17647058823529413</v>
      </c>
      <c r="AK47">
        <v>0.11764705882352941</v>
      </c>
      <c r="AL47">
        <v>0.11764705882352941</v>
      </c>
    </row>
    <row r="48" spans="1:38" x14ac:dyDescent="0.25">
      <c r="A48">
        <v>2025</v>
      </c>
      <c r="B48" t="s">
        <v>52</v>
      </c>
      <c r="C48" t="s">
        <v>21</v>
      </c>
      <c r="D48" t="str" cm="1">
        <f t="array" ref="D48">_xlfn.XLOOKUP(1,('26 WR'!A:A=E48)*('26 WR'!B:B=F48),'26 WR'!C:C)</f>
        <v>De'Von Achane</v>
      </c>
      <c r="E48" t="s">
        <v>23</v>
      </c>
      <c r="F48">
        <v>7</v>
      </c>
      <c r="G48">
        <v>23</v>
      </c>
      <c r="H48">
        <v>13.1</v>
      </c>
      <c r="I48">
        <v>8.5</v>
      </c>
      <c r="J48">
        <v>6</v>
      </c>
      <c r="K48">
        <v>10.1</v>
      </c>
      <c r="L48">
        <v>11.8</v>
      </c>
      <c r="M48">
        <v>8.9</v>
      </c>
      <c r="N48">
        <v>12</v>
      </c>
      <c r="O48">
        <v>25.5</v>
      </c>
      <c r="P48">
        <v>19.2</v>
      </c>
      <c r="Q48">
        <v>0</v>
      </c>
      <c r="R48">
        <v>18.7</v>
      </c>
      <c r="S48">
        <v>15</v>
      </c>
      <c r="T48">
        <v>18.3</v>
      </c>
      <c r="U48">
        <v>18.5</v>
      </c>
      <c r="V48">
        <v>16</v>
      </c>
      <c r="W48">
        <v>32.9</v>
      </c>
      <c r="X48">
        <v>29.1</v>
      </c>
      <c r="Y48">
        <f t="shared" si="0"/>
        <v>263.60000000000002</v>
      </c>
      <c r="Z48">
        <v>16.600000000000001</v>
      </c>
      <c r="AA48">
        <v>2</v>
      </c>
      <c r="AB48">
        <v>1</v>
      </c>
      <c r="AC48">
        <v>14</v>
      </c>
      <c r="AD48">
        <v>9</v>
      </c>
      <c r="AE48">
        <v>3</v>
      </c>
      <c r="AF48">
        <v>3</v>
      </c>
      <c r="AG48">
        <v>1</v>
      </c>
      <c r="AH48">
        <v>0.82352941176470584</v>
      </c>
      <c r="AI48">
        <v>0.52941176470588236</v>
      </c>
      <c r="AJ48">
        <v>0.17647058823529413</v>
      </c>
      <c r="AK48">
        <v>0.17647058823529413</v>
      </c>
      <c r="AL48">
        <v>5.8823529411764705E-2</v>
      </c>
    </row>
    <row r="49" spans="1:38" x14ac:dyDescent="0.25">
      <c r="A49">
        <v>2025</v>
      </c>
      <c r="B49" t="s">
        <v>54</v>
      </c>
      <c r="C49" t="s">
        <v>55</v>
      </c>
      <c r="D49" t="str" cm="1">
        <f t="array" ref="D49">_xlfn.XLOOKUP(1,('26 WR'!A:A=E49)*('26 WR'!B:B=F49),'26 WR'!C:C)</f>
        <v>Chase Brown</v>
      </c>
      <c r="E49" t="s">
        <v>23</v>
      </c>
      <c r="F49">
        <v>8</v>
      </c>
      <c r="G49">
        <v>25</v>
      </c>
      <c r="H49">
        <v>12.8</v>
      </c>
      <c r="I49">
        <v>29.5</v>
      </c>
      <c r="J49">
        <v>32.799999999999997</v>
      </c>
      <c r="K49">
        <v>14.6</v>
      </c>
      <c r="L49">
        <v>31.6</v>
      </c>
      <c r="M49">
        <v>23.7</v>
      </c>
      <c r="N49">
        <v>34.200000000000003</v>
      </c>
      <c r="O49">
        <v>37.4</v>
      </c>
      <c r="P49">
        <v>7.7</v>
      </c>
      <c r="Q49">
        <v>49.6</v>
      </c>
      <c r="R49">
        <v>0</v>
      </c>
      <c r="S49">
        <v>8.6</v>
      </c>
      <c r="T49">
        <v>15.1</v>
      </c>
      <c r="U49">
        <v>11.4</v>
      </c>
      <c r="V49">
        <v>13.1</v>
      </c>
      <c r="W49">
        <v>16.899999999999999</v>
      </c>
      <c r="X49">
        <v>17.399999999999999</v>
      </c>
      <c r="Y49">
        <f t="shared" si="0"/>
        <v>356.4</v>
      </c>
      <c r="Z49">
        <v>21.3</v>
      </c>
      <c r="AA49">
        <v>2</v>
      </c>
      <c r="AB49">
        <v>1</v>
      </c>
      <c r="AC49">
        <v>14</v>
      </c>
      <c r="AD49">
        <v>10</v>
      </c>
      <c r="AE49">
        <v>7</v>
      </c>
      <c r="AF49">
        <v>6</v>
      </c>
      <c r="AG49">
        <v>5</v>
      </c>
      <c r="AH49">
        <v>0.82352941176470584</v>
      </c>
      <c r="AI49">
        <v>0.58823529411764708</v>
      </c>
      <c r="AJ49">
        <v>0.41176470588235292</v>
      </c>
      <c r="AK49">
        <v>0.35294117647058826</v>
      </c>
      <c r="AL49">
        <v>0.29411764705882354</v>
      </c>
    </row>
    <row r="50" spans="1:38" x14ac:dyDescent="0.25">
      <c r="A50">
        <v>2025</v>
      </c>
      <c r="B50" t="s">
        <v>56</v>
      </c>
      <c r="C50" t="s">
        <v>57</v>
      </c>
      <c r="D50" t="str" cm="1">
        <f t="array" ref="D50">_xlfn.XLOOKUP(1,('26 WR'!A:A=E50)*('26 WR'!B:B=F50),'26 WR'!C:C)</f>
        <v>Saquon Barkley</v>
      </c>
      <c r="E50" t="s">
        <v>23</v>
      </c>
      <c r="F50">
        <v>9</v>
      </c>
      <c r="G50">
        <v>26</v>
      </c>
      <c r="H50">
        <v>14.5</v>
      </c>
      <c r="I50">
        <v>18.100000000000001</v>
      </c>
      <c r="J50">
        <v>13.9</v>
      </c>
      <c r="K50">
        <v>25.5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16.100000000000001</v>
      </c>
      <c r="U50">
        <v>16.100000000000001</v>
      </c>
      <c r="V50">
        <v>8.1</v>
      </c>
      <c r="W50">
        <v>7.1</v>
      </c>
      <c r="X50">
        <v>8.3000000000000007</v>
      </c>
      <c r="Y50">
        <f t="shared" si="0"/>
        <v>127.69999999999997</v>
      </c>
      <c r="Z50">
        <v>13.9</v>
      </c>
      <c r="AA50">
        <v>2</v>
      </c>
      <c r="AB50">
        <v>1</v>
      </c>
      <c r="AC50">
        <v>7</v>
      </c>
      <c r="AD50">
        <v>4</v>
      </c>
      <c r="AE50">
        <v>1</v>
      </c>
      <c r="AF50">
        <v>1</v>
      </c>
      <c r="AG50">
        <v>0</v>
      </c>
      <c r="AH50">
        <v>0.41176470588235292</v>
      </c>
      <c r="AI50">
        <v>0.4</v>
      </c>
      <c r="AJ50">
        <v>0.1</v>
      </c>
      <c r="AK50">
        <v>0.1</v>
      </c>
      <c r="AL50">
        <v>0</v>
      </c>
    </row>
    <row r="51" spans="1:38" x14ac:dyDescent="0.25">
      <c r="A51">
        <v>2025</v>
      </c>
      <c r="B51" t="s">
        <v>58</v>
      </c>
      <c r="C51" t="s">
        <v>59</v>
      </c>
      <c r="D51" t="str" cm="1">
        <f t="array" ref="D51">_xlfn.XLOOKUP(1,('26 WR'!A:A=E51)*('26 WR'!B:B=F51),'26 WR'!C:C)</f>
        <v>Omarion Hampton</v>
      </c>
      <c r="E51" t="s">
        <v>23</v>
      </c>
      <c r="F51">
        <v>10</v>
      </c>
      <c r="G51">
        <v>27</v>
      </c>
      <c r="H51">
        <v>16.5</v>
      </c>
      <c r="I51">
        <v>26.2</v>
      </c>
      <c r="J51">
        <v>16.100000000000001</v>
      </c>
      <c r="K51">
        <v>17.100000000000001</v>
      </c>
      <c r="L51">
        <v>16.600000000000001</v>
      </c>
      <c r="M51">
        <v>31</v>
      </c>
      <c r="N51">
        <v>12.8</v>
      </c>
      <c r="O51">
        <v>20.100000000000001</v>
      </c>
      <c r="P51">
        <v>16.600000000000001</v>
      </c>
      <c r="Q51">
        <v>40.5</v>
      </c>
      <c r="R51">
        <v>21.5</v>
      </c>
      <c r="S51">
        <v>0</v>
      </c>
      <c r="T51">
        <v>19.399999999999999</v>
      </c>
      <c r="U51">
        <v>17.5</v>
      </c>
      <c r="V51">
        <v>18.7</v>
      </c>
      <c r="W51">
        <v>18</v>
      </c>
      <c r="X51">
        <v>14.2</v>
      </c>
      <c r="Y51">
        <f t="shared" si="0"/>
        <v>322.79999999999995</v>
      </c>
      <c r="Z51">
        <v>20.2</v>
      </c>
      <c r="AA51">
        <v>2</v>
      </c>
      <c r="AB51">
        <v>1</v>
      </c>
      <c r="AC51">
        <v>16</v>
      </c>
      <c r="AD51">
        <v>14</v>
      </c>
      <c r="AE51">
        <v>5</v>
      </c>
      <c r="AF51">
        <v>3</v>
      </c>
      <c r="AG51">
        <v>2</v>
      </c>
      <c r="AH51">
        <v>0.94117647058823528</v>
      </c>
      <c r="AI51">
        <v>0.875</v>
      </c>
      <c r="AJ51">
        <v>0.3125</v>
      </c>
      <c r="AK51">
        <v>0.1875</v>
      </c>
      <c r="AL51">
        <v>0.125</v>
      </c>
    </row>
    <row r="52" spans="1:38" x14ac:dyDescent="0.25">
      <c r="A52">
        <v>2025</v>
      </c>
      <c r="B52" t="s">
        <v>60</v>
      </c>
      <c r="C52" t="s">
        <v>61</v>
      </c>
      <c r="D52" t="str" cm="1">
        <f t="array" ref="D52">_xlfn.XLOOKUP(1,('26 WR'!A:A=E52)*('26 WR'!B:B=F52),'26 WR'!C:C)</f>
        <v>Kenneth Walker III</v>
      </c>
      <c r="E52" t="s">
        <v>23</v>
      </c>
      <c r="F52">
        <v>11</v>
      </c>
      <c r="G52">
        <v>28</v>
      </c>
      <c r="H52">
        <v>14</v>
      </c>
      <c r="I52">
        <v>14.4</v>
      </c>
      <c r="J52">
        <v>12.4</v>
      </c>
      <c r="K52">
        <v>31.7</v>
      </c>
      <c r="L52">
        <v>0</v>
      </c>
      <c r="M52">
        <v>32</v>
      </c>
      <c r="N52">
        <v>18.8</v>
      </c>
      <c r="O52">
        <v>13.5</v>
      </c>
      <c r="P52">
        <v>20</v>
      </c>
      <c r="Q52">
        <v>19.7</v>
      </c>
      <c r="R52">
        <v>4</v>
      </c>
      <c r="S52">
        <v>0</v>
      </c>
      <c r="T52">
        <v>10.1</v>
      </c>
      <c r="U52">
        <v>17.2</v>
      </c>
      <c r="V52">
        <v>23.2</v>
      </c>
      <c r="W52">
        <v>4.8</v>
      </c>
      <c r="X52">
        <v>1.3</v>
      </c>
      <c r="Y52">
        <f t="shared" si="0"/>
        <v>237.1</v>
      </c>
      <c r="Z52">
        <v>15.8</v>
      </c>
      <c r="AA52">
        <v>2</v>
      </c>
      <c r="AB52">
        <v>1</v>
      </c>
      <c r="AC52">
        <v>12</v>
      </c>
      <c r="AD52">
        <v>7</v>
      </c>
      <c r="AE52">
        <v>3</v>
      </c>
      <c r="AF52">
        <v>2</v>
      </c>
      <c r="AG52">
        <v>2</v>
      </c>
      <c r="AH52">
        <v>0.70588235294117652</v>
      </c>
      <c r="AI52">
        <v>0.46666666666666667</v>
      </c>
      <c r="AJ52">
        <v>0.2</v>
      </c>
      <c r="AK52">
        <v>0.13333333333333333</v>
      </c>
      <c r="AL52">
        <v>0.13333333333333333</v>
      </c>
    </row>
    <row r="53" spans="1:38" x14ac:dyDescent="0.25">
      <c r="A53">
        <v>2025</v>
      </c>
      <c r="B53" t="s">
        <v>71</v>
      </c>
      <c r="C53" t="s">
        <v>49</v>
      </c>
      <c r="D53" t="str" cm="1">
        <f t="array" ref="D53">_xlfn.XLOOKUP(1,('26 WR'!A:A=E53)*('26 WR'!B:B=F53),'26 WR'!C:C)</f>
        <v>Jeremiyah Love</v>
      </c>
      <c r="E53" t="s">
        <v>23</v>
      </c>
      <c r="F53">
        <v>12</v>
      </c>
      <c r="G53">
        <v>37</v>
      </c>
      <c r="H53">
        <v>13.9</v>
      </c>
      <c r="I53">
        <v>10</v>
      </c>
      <c r="J53">
        <v>19.2</v>
      </c>
      <c r="K53">
        <v>10.4</v>
      </c>
      <c r="L53">
        <v>31.1</v>
      </c>
      <c r="M53">
        <v>16.7</v>
      </c>
      <c r="N53">
        <v>8.5</v>
      </c>
      <c r="O53">
        <v>0</v>
      </c>
      <c r="P53">
        <v>17.399999999999999</v>
      </c>
      <c r="Q53">
        <v>22.4</v>
      </c>
      <c r="R53">
        <v>16.600000000000001</v>
      </c>
      <c r="S53">
        <v>5.8</v>
      </c>
      <c r="T53">
        <v>13.2</v>
      </c>
      <c r="U53">
        <v>17.7</v>
      </c>
      <c r="V53">
        <v>21.8</v>
      </c>
      <c r="W53">
        <v>11.5</v>
      </c>
      <c r="X53">
        <v>16</v>
      </c>
      <c r="Y53">
        <f t="shared" si="0"/>
        <v>252.2</v>
      </c>
      <c r="Z53">
        <v>15.5</v>
      </c>
      <c r="AA53">
        <v>3</v>
      </c>
      <c r="AB53">
        <v>1</v>
      </c>
      <c r="AC53">
        <v>14</v>
      </c>
      <c r="AD53">
        <v>9</v>
      </c>
      <c r="AE53">
        <v>3</v>
      </c>
      <c r="AF53">
        <v>1</v>
      </c>
      <c r="AG53">
        <v>1</v>
      </c>
      <c r="AH53">
        <v>0.82352941176470584</v>
      </c>
      <c r="AI53">
        <v>0.52941176470588236</v>
      </c>
      <c r="AJ53">
        <v>0.17647058823529413</v>
      </c>
      <c r="AK53">
        <v>5.8823529411764705E-2</v>
      </c>
      <c r="AL53">
        <v>5.8823529411764705E-2</v>
      </c>
    </row>
    <row r="54" spans="1:38" x14ac:dyDescent="0.25">
      <c r="A54">
        <v>2025</v>
      </c>
      <c r="B54" t="s">
        <v>72</v>
      </c>
      <c r="C54" t="s">
        <v>65</v>
      </c>
      <c r="D54" t="str" cm="1">
        <f t="array" ref="D54">_xlfn.XLOOKUP(1,('26 WR'!A:A=E54)*('26 WR'!B:B=F54),'26 WR'!C:C)</f>
        <v>Derrick Henry</v>
      </c>
      <c r="E54" t="s">
        <v>23</v>
      </c>
      <c r="F54">
        <v>13</v>
      </c>
      <c r="G54">
        <v>38</v>
      </c>
      <c r="H54">
        <v>8.1</v>
      </c>
      <c r="I54">
        <v>3.5</v>
      </c>
      <c r="J54">
        <v>24.9</v>
      </c>
      <c r="K54">
        <v>27.5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14.7</v>
      </c>
      <c r="V54">
        <v>7.5</v>
      </c>
      <c r="W54">
        <v>16.5</v>
      </c>
      <c r="X54">
        <v>20</v>
      </c>
      <c r="Y54">
        <f t="shared" si="0"/>
        <v>135.69999999999999</v>
      </c>
      <c r="Z54">
        <v>15.1</v>
      </c>
      <c r="AA54">
        <v>3</v>
      </c>
      <c r="AB54">
        <v>1</v>
      </c>
      <c r="AC54">
        <v>6</v>
      </c>
      <c r="AD54">
        <v>4</v>
      </c>
      <c r="AE54">
        <v>2</v>
      </c>
      <c r="AF54">
        <v>1</v>
      </c>
      <c r="AG54">
        <v>0</v>
      </c>
      <c r="AH54">
        <v>0.35294117647058826</v>
      </c>
      <c r="AI54">
        <v>0.44444444444444442</v>
      </c>
      <c r="AJ54">
        <v>0.22222222222222221</v>
      </c>
      <c r="AK54">
        <v>0.1111111111111111</v>
      </c>
      <c r="AL54">
        <v>0</v>
      </c>
    </row>
    <row r="55" spans="1:38" x14ac:dyDescent="0.25">
      <c r="A55">
        <v>2025</v>
      </c>
      <c r="B55" t="s">
        <v>76</v>
      </c>
      <c r="C55" t="s">
        <v>68</v>
      </c>
      <c r="D55" t="str" cm="1">
        <f t="array" ref="D55">_xlfn.XLOOKUP(1,('26 WR'!A:A=E55)*('26 WR'!B:B=F55),'26 WR'!C:C)</f>
        <v>Breece Hall</v>
      </c>
      <c r="E55" t="s">
        <v>23</v>
      </c>
      <c r="F55">
        <v>14</v>
      </c>
      <c r="G55">
        <v>43</v>
      </c>
      <c r="H55">
        <v>21.2</v>
      </c>
      <c r="I55">
        <v>26.5</v>
      </c>
      <c r="J55">
        <v>20.8</v>
      </c>
      <c r="K55">
        <v>22.5</v>
      </c>
      <c r="L55">
        <v>4.9000000000000004</v>
      </c>
      <c r="M55">
        <v>8.6999999999999993</v>
      </c>
      <c r="N55">
        <v>0</v>
      </c>
      <c r="O55">
        <v>33.6</v>
      </c>
      <c r="P55">
        <v>13.5</v>
      </c>
      <c r="Q55">
        <v>10.7</v>
      </c>
      <c r="R55">
        <v>20.399999999999999</v>
      </c>
      <c r="S55">
        <v>21.9</v>
      </c>
      <c r="T55">
        <v>18.7</v>
      </c>
      <c r="U55">
        <v>11.1</v>
      </c>
      <c r="V55">
        <v>31.1</v>
      </c>
      <c r="W55">
        <v>26.4</v>
      </c>
      <c r="X55">
        <v>8.6999999999999993</v>
      </c>
      <c r="Y55">
        <f t="shared" si="0"/>
        <v>300.7</v>
      </c>
      <c r="Z55">
        <v>17.8</v>
      </c>
      <c r="AA55">
        <v>3</v>
      </c>
      <c r="AB55">
        <v>1</v>
      </c>
      <c r="AC55">
        <v>13</v>
      </c>
      <c r="AD55">
        <v>10</v>
      </c>
      <c r="AE55">
        <v>9</v>
      </c>
      <c r="AF55">
        <v>4</v>
      </c>
      <c r="AG55">
        <v>2</v>
      </c>
      <c r="AH55">
        <v>0.76470588235294112</v>
      </c>
      <c r="AI55">
        <v>0.58823529411764708</v>
      </c>
      <c r="AJ55">
        <v>0.52941176470588236</v>
      </c>
      <c r="AK55">
        <v>0.23529411764705882</v>
      </c>
      <c r="AL55">
        <v>0.11764705882352941</v>
      </c>
    </row>
    <row r="56" spans="1:38" x14ac:dyDescent="0.25">
      <c r="A56">
        <v>2025</v>
      </c>
      <c r="B56" t="s">
        <v>77</v>
      </c>
      <c r="C56" t="s">
        <v>78</v>
      </c>
      <c r="D56" t="str" cm="1">
        <f t="array" ref="D56">_xlfn.XLOOKUP(1,('26 WR'!A:A=E56)*('26 WR'!B:B=F56),'26 WR'!C:C)</f>
        <v>Kyren Williams</v>
      </c>
      <c r="E56" t="s">
        <v>23</v>
      </c>
      <c r="F56">
        <v>15</v>
      </c>
      <c r="G56">
        <v>44</v>
      </c>
      <c r="H56">
        <v>11.1</v>
      </c>
      <c r="I56">
        <v>6</v>
      </c>
      <c r="J56">
        <v>7.7</v>
      </c>
      <c r="K56">
        <v>12.6</v>
      </c>
      <c r="L56">
        <v>4.7</v>
      </c>
      <c r="M56">
        <v>4.5999999999999996</v>
      </c>
      <c r="N56">
        <v>0.5</v>
      </c>
      <c r="O56">
        <v>5.5</v>
      </c>
      <c r="P56">
        <v>12.7</v>
      </c>
      <c r="Q56">
        <v>28</v>
      </c>
      <c r="R56">
        <v>32.299999999999997</v>
      </c>
      <c r="S56">
        <v>11.1</v>
      </c>
      <c r="T56">
        <v>11.6</v>
      </c>
      <c r="U56">
        <v>0</v>
      </c>
      <c r="V56">
        <v>30.1</v>
      </c>
      <c r="W56">
        <v>2.2000000000000002</v>
      </c>
      <c r="X56">
        <v>8.1999999999999993</v>
      </c>
      <c r="Y56">
        <f t="shared" si="0"/>
        <v>188.89999999999998</v>
      </c>
      <c r="Z56">
        <v>12.1</v>
      </c>
      <c r="AA56">
        <v>3</v>
      </c>
      <c r="AB56">
        <v>1</v>
      </c>
      <c r="AC56">
        <v>9</v>
      </c>
      <c r="AD56">
        <v>4</v>
      </c>
      <c r="AE56">
        <v>3</v>
      </c>
      <c r="AF56">
        <v>3</v>
      </c>
      <c r="AG56">
        <v>2</v>
      </c>
      <c r="AH56">
        <v>0.52941176470588236</v>
      </c>
      <c r="AI56">
        <v>0.23529411764705882</v>
      </c>
      <c r="AJ56">
        <v>0.17647058823529413</v>
      </c>
      <c r="AK56">
        <v>0.17647058823529413</v>
      </c>
      <c r="AL56">
        <v>0.11764705882352941</v>
      </c>
    </row>
    <row r="57" spans="1:38" x14ac:dyDescent="0.25">
      <c r="A57">
        <v>2025</v>
      </c>
      <c r="B57" t="s">
        <v>86</v>
      </c>
      <c r="C57" t="s">
        <v>74</v>
      </c>
      <c r="D57" t="str" cm="1">
        <f t="array" ref="D57">_xlfn.XLOOKUP(1,('26 WR'!A:A=E57)*('26 WR'!B:B=F57),'26 WR'!C:C)</f>
        <v>Josh Jacobs</v>
      </c>
      <c r="E57" t="s">
        <v>23</v>
      </c>
      <c r="F57">
        <v>16</v>
      </c>
      <c r="G57">
        <v>50</v>
      </c>
      <c r="H57">
        <v>5.4</v>
      </c>
      <c r="I57">
        <v>18.8</v>
      </c>
      <c r="J57">
        <v>18</v>
      </c>
      <c r="K57">
        <v>12</v>
      </c>
      <c r="L57">
        <v>9.6</v>
      </c>
      <c r="M57">
        <v>4.7</v>
      </c>
      <c r="N57">
        <v>6.6</v>
      </c>
      <c r="O57">
        <v>0</v>
      </c>
      <c r="P57">
        <v>8.1</v>
      </c>
      <c r="Q57">
        <v>8</v>
      </c>
      <c r="R57">
        <v>20.100000000000001</v>
      </c>
      <c r="S57">
        <v>13.1</v>
      </c>
      <c r="T57">
        <v>10.4</v>
      </c>
      <c r="U57">
        <v>3.8</v>
      </c>
      <c r="V57">
        <v>2.9</v>
      </c>
      <c r="W57">
        <v>25.4</v>
      </c>
      <c r="X57">
        <v>7.7</v>
      </c>
      <c r="Y57">
        <f t="shared" si="0"/>
        <v>174.6</v>
      </c>
      <c r="Z57">
        <v>11.3</v>
      </c>
      <c r="AA57">
        <v>4</v>
      </c>
      <c r="AB57">
        <v>1</v>
      </c>
      <c r="AC57">
        <v>8</v>
      </c>
      <c r="AD57">
        <v>5</v>
      </c>
      <c r="AE57">
        <v>2</v>
      </c>
      <c r="AF57">
        <v>1</v>
      </c>
      <c r="AG57">
        <v>0</v>
      </c>
      <c r="AH57">
        <v>0.47058823529411764</v>
      </c>
      <c r="AI57">
        <v>0.29411764705882354</v>
      </c>
      <c r="AJ57">
        <v>0.11764705882352941</v>
      </c>
      <c r="AK57">
        <v>5.8823529411764705E-2</v>
      </c>
      <c r="AL57">
        <v>0</v>
      </c>
    </row>
    <row r="58" spans="1:38" x14ac:dyDescent="0.25">
      <c r="A58">
        <v>2025</v>
      </c>
      <c r="B58" t="s">
        <v>95</v>
      </c>
      <c r="C58" t="s">
        <v>96</v>
      </c>
      <c r="D58" t="str" cm="1">
        <f t="array" ref="D58">_xlfn.XLOOKUP(1,('26 WR'!A:A=E58)*('26 WR'!B:B=F58),'26 WR'!C:C)</f>
        <v>Travis Etienne Jr.</v>
      </c>
      <c r="E58" t="s">
        <v>23</v>
      </c>
      <c r="F58">
        <v>17</v>
      </c>
      <c r="G58">
        <v>56</v>
      </c>
      <c r="H58">
        <v>13.7</v>
      </c>
      <c r="I58">
        <v>16</v>
      </c>
      <c r="J58">
        <v>6.6</v>
      </c>
      <c r="K58">
        <v>11.2</v>
      </c>
      <c r="L58">
        <v>9.5</v>
      </c>
      <c r="M58">
        <v>12.6</v>
      </c>
      <c r="N58">
        <v>5.9</v>
      </c>
      <c r="O58">
        <v>6.5</v>
      </c>
      <c r="P58">
        <v>0.7</v>
      </c>
      <c r="Q58">
        <v>14.5</v>
      </c>
      <c r="R58">
        <v>0</v>
      </c>
      <c r="S58">
        <v>3.5</v>
      </c>
      <c r="T58">
        <v>0</v>
      </c>
      <c r="U58">
        <v>0</v>
      </c>
      <c r="V58">
        <v>0</v>
      </c>
      <c r="W58">
        <v>0</v>
      </c>
      <c r="X58">
        <v>0</v>
      </c>
      <c r="Y58">
        <f t="shared" si="0"/>
        <v>100.7</v>
      </c>
      <c r="Z58">
        <v>9.1999999999999993</v>
      </c>
      <c r="AA58">
        <v>4</v>
      </c>
      <c r="AB58">
        <v>1</v>
      </c>
      <c r="AC58">
        <v>5</v>
      </c>
      <c r="AD58">
        <v>1</v>
      </c>
      <c r="AE58">
        <v>0</v>
      </c>
      <c r="AF58">
        <v>0</v>
      </c>
      <c r="AG58">
        <v>0</v>
      </c>
      <c r="AH58">
        <v>0.29411764705882354</v>
      </c>
      <c r="AI58">
        <v>9.0909090909090912E-2</v>
      </c>
      <c r="AJ58">
        <v>0</v>
      </c>
      <c r="AK58">
        <v>0</v>
      </c>
      <c r="AL58">
        <v>0</v>
      </c>
    </row>
    <row r="59" spans="1:38" x14ac:dyDescent="0.25">
      <c r="A59">
        <v>2025</v>
      </c>
      <c r="B59" t="s">
        <v>105</v>
      </c>
      <c r="C59" t="s">
        <v>90</v>
      </c>
      <c r="D59" t="str" cm="1">
        <f t="array" ref="D59">_xlfn.XLOOKUP(1,('26 WR'!A:A=E59)*('26 WR'!B:B=F59),'26 WR'!C:C)</f>
        <v>Javonte Williams</v>
      </c>
      <c r="E59" t="s">
        <v>23</v>
      </c>
      <c r="F59">
        <v>18</v>
      </c>
      <c r="G59">
        <v>66</v>
      </c>
      <c r="H59">
        <v>16.5</v>
      </c>
      <c r="I59">
        <v>5.8</v>
      </c>
      <c r="J59">
        <v>9.1999999999999993</v>
      </c>
      <c r="K59">
        <v>16.100000000000001</v>
      </c>
      <c r="L59">
        <v>17.5</v>
      </c>
      <c r="M59">
        <v>5.9</v>
      </c>
      <c r="N59">
        <v>7.2</v>
      </c>
      <c r="O59">
        <v>32.9</v>
      </c>
      <c r="P59">
        <v>0</v>
      </c>
      <c r="Q59">
        <v>19.5</v>
      </c>
      <c r="R59">
        <v>8.4</v>
      </c>
      <c r="S59">
        <v>13.9</v>
      </c>
      <c r="T59">
        <v>15.6</v>
      </c>
      <c r="U59">
        <v>4.3</v>
      </c>
      <c r="V59">
        <v>5.7</v>
      </c>
      <c r="W59">
        <v>8.3000000000000007</v>
      </c>
      <c r="X59">
        <v>20.9</v>
      </c>
      <c r="Y59">
        <f t="shared" si="0"/>
        <v>207.70000000000002</v>
      </c>
      <c r="Z59">
        <v>13</v>
      </c>
      <c r="AA59">
        <v>5</v>
      </c>
      <c r="AB59">
        <v>1</v>
      </c>
      <c r="AC59">
        <v>8</v>
      </c>
      <c r="AD59">
        <v>7</v>
      </c>
      <c r="AE59">
        <v>2</v>
      </c>
      <c r="AF59">
        <v>1</v>
      </c>
      <c r="AG59">
        <v>1</v>
      </c>
      <c r="AH59">
        <v>0.47058823529411764</v>
      </c>
      <c r="AI59">
        <v>0.4375</v>
      </c>
      <c r="AJ59">
        <v>0.125</v>
      </c>
      <c r="AK59">
        <v>6.25E-2</v>
      </c>
      <c r="AL59">
        <v>6.25E-2</v>
      </c>
    </row>
    <row r="60" spans="1:38" x14ac:dyDescent="0.25">
      <c r="A60">
        <v>2025</v>
      </c>
      <c r="B60" t="s">
        <v>106</v>
      </c>
      <c r="C60" t="s">
        <v>92</v>
      </c>
      <c r="D60" t="str" cm="1">
        <f t="array" ref="D60">_xlfn.XLOOKUP(1,('26 WR'!A:A=E60)*('26 WR'!B:B=F60),'26 WR'!C:C)</f>
        <v>Cam Skattebo</v>
      </c>
      <c r="E60" t="s">
        <v>23</v>
      </c>
      <c r="F60">
        <v>19</v>
      </c>
      <c r="G60">
        <v>67</v>
      </c>
      <c r="H60">
        <v>17.899999999999999</v>
      </c>
      <c r="I60">
        <v>18.7</v>
      </c>
      <c r="J60">
        <v>9.6</v>
      </c>
      <c r="K60">
        <v>9.9</v>
      </c>
      <c r="L60">
        <v>0</v>
      </c>
      <c r="M60">
        <v>0</v>
      </c>
      <c r="N60">
        <v>7.5</v>
      </c>
      <c r="O60">
        <v>9.4</v>
      </c>
      <c r="P60">
        <v>1.7</v>
      </c>
      <c r="Q60">
        <v>2.5</v>
      </c>
      <c r="R60">
        <v>3.8</v>
      </c>
      <c r="S60">
        <v>8.3000000000000007</v>
      </c>
      <c r="T60">
        <v>20.399999999999999</v>
      </c>
      <c r="U60">
        <v>0</v>
      </c>
      <c r="V60">
        <v>4.8</v>
      </c>
      <c r="W60">
        <v>4.4000000000000004</v>
      </c>
      <c r="X60">
        <v>2.8</v>
      </c>
      <c r="Y60">
        <f t="shared" si="0"/>
        <v>121.69999999999999</v>
      </c>
      <c r="Z60">
        <v>8.4</v>
      </c>
      <c r="AA60">
        <v>5</v>
      </c>
      <c r="AB60">
        <v>1</v>
      </c>
      <c r="AC60">
        <v>3</v>
      </c>
      <c r="AD60">
        <v>3</v>
      </c>
      <c r="AE60">
        <v>1</v>
      </c>
      <c r="AF60">
        <v>0</v>
      </c>
      <c r="AG60">
        <v>0</v>
      </c>
      <c r="AH60">
        <v>0.17647058823529413</v>
      </c>
      <c r="AI60">
        <v>0.2</v>
      </c>
      <c r="AJ60">
        <v>6.6666666666666666E-2</v>
      </c>
      <c r="AK60">
        <v>0</v>
      </c>
      <c r="AL60">
        <v>0</v>
      </c>
    </row>
    <row r="61" spans="1:38" x14ac:dyDescent="0.25">
      <c r="A61">
        <v>2025</v>
      </c>
      <c r="B61" t="s">
        <v>112</v>
      </c>
      <c r="C61" t="s">
        <v>45</v>
      </c>
      <c r="D61" t="str" cm="1">
        <f t="array" ref="D61">_xlfn.XLOOKUP(1,('26 WR'!A:A=E61)*('26 WR'!B:B=F61),'26 WR'!C:C)</f>
        <v>Bucky Irving</v>
      </c>
      <c r="E61" t="s">
        <v>23</v>
      </c>
      <c r="F61">
        <v>20</v>
      </c>
      <c r="G61">
        <v>71</v>
      </c>
      <c r="H61">
        <v>14.4</v>
      </c>
      <c r="I61">
        <v>12.2</v>
      </c>
      <c r="J61">
        <v>6.7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f t="shared" si="0"/>
        <v>33.300000000000004</v>
      </c>
      <c r="Z61">
        <v>8.3000000000000007</v>
      </c>
      <c r="AA61">
        <v>20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0.11764705882352941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2025</v>
      </c>
      <c r="B62" t="s">
        <v>116</v>
      </c>
      <c r="C62" t="s">
        <v>98</v>
      </c>
      <c r="D62" t="str" cm="1">
        <f t="array" ref="D62">_xlfn.XLOOKUP(1,('26 WR'!A:A=E62)*('26 WR'!B:B=F62),'26 WR'!C:C)</f>
        <v>TreVeyon Henderson</v>
      </c>
      <c r="E62" t="s">
        <v>23</v>
      </c>
      <c r="F62">
        <v>21</v>
      </c>
      <c r="G62">
        <v>74</v>
      </c>
      <c r="H62">
        <v>7.9</v>
      </c>
      <c r="I62">
        <v>3.4</v>
      </c>
      <c r="J62">
        <v>4.5999999999999996</v>
      </c>
      <c r="K62">
        <v>19.8</v>
      </c>
      <c r="L62">
        <v>6</v>
      </c>
      <c r="M62">
        <v>6.5</v>
      </c>
      <c r="N62">
        <v>7.2</v>
      </c>
      <c r="O62">
        <v>24.1</v>
      </c>
      <c r="P62">
        <v>16.600000000000001</v>
      </c>
      <c r="Q62">
        <v>3.8</v>
      </c>
      <c r="R62">
        <v>8</v>
      </c>
      <c r="S62">
        <v>0</v>
      </c>
      <c r="T62">
        <v>21.2</v>
      </c>
      <c r="U62">
        <v>22</v>
      </c>
      <c r="V62">
        <v>10.5</v>
      </c>
      <c r="W62">
        <v>22.1</v>
      </c>
      <c r="X62">
        <v>18.600000000000001</v>
      </c>
      <c r="Y62">
        <f t="shared" si="0"/>
        <v>202.29999999999998</v>
      </c>
      <c r="Z62">
        <v>12.2</v>
      </c>
      <c r="AA62">
        <v>5</v>
      </c>
      <c r="AB62">
        <v>1</v>
      </c>
      <c r="AC62">
        <v>8</v>
      </c>
      <c r="AD62">
        <v>7</v>
      </c>
      <c r="AE62">
        <v>4</v>
      </c>
      <c r="AF62">
        <v>0</v>
      </c>
      <c r="AG62">
        <v>0</v>
      </c>
      <c r="AH62">
        <v>0.47058823529411764</v>
      </c>
      <c r="AI62">
        <v>0.41176470588235292</v>
      </c>
      <c r="AJ62">
        <v>0.23529411764705882</v>
      </c>
      <c r="AK62">
        <v>0</v>
      </c>
      <c r="AL62">
        <v>0</v>
      </c>
    </row>
    <row r="63" spans="1:38" x14ac:dyDescent="0.25">
      <c r="A63">
        <v>2025</v>
      </c>
      <c r="B63" t="s">
        <v>117</v>
      </c>
      <c r="C63" t="s">
        <v>114</v>
      </c>
      <c r="D63" t="str" cm="1">
        <f t="array" ref="D63">_xlfn.XLOOKUP(1,('26 WR'!A:A=E63)*('26 WR'!B:B=F63),'26 WR'!C:C)</f>
        <v>Quinshon Judkins</v>
      </c>
      <c r="E63" t="s">
        <v>23</v>
      </c>
      <c r="F63">
        <v>22</v>
      </c>
      <c r="G63">
        <v>75</v>
      </c>
      <c r="H63">
        <v>7.9</v>
      </c>
      <c r="I63">
        <v>9.1999999999999993</v>
      </c>
      <c r="J63">
        <v>13.9</v>
      </c>
      <c r="K63">
        <v>10.6</v>
      </c>
      <c r="L63">
        <v>14.8</v>
      </c>
      <c r="M63">
        <v>6.7</v>
      </c>
      <c r="N63">
        <v>12.1</v>
      </c>
      <c r="O63">
        <v>6.3</v>
      </c>
      <c r="P63">
        <v>7.8</v>
      </c>
      <c r="Q63">
        <v>0</v>
      </c>
      <c r="R63">
        <v>5.6</v>
      </c>
      <c r="S63">
        <v>8.1</v>
      </c>
      <c r="T63">
        <v>5.3</v>
      </c>
      <c r="U63">
        <v>28.1</v>
      </c>
      <c r="V63">
        <v>18.2</v>
      </c>
      <c r="W63">
        <v>10.199999999999999</v>
      </c>
      <c r="X63">
        <v>11.5</v>
      </c>
      <c r="Y63">
        <f t="shared" si="0"/>
        <v>176.29999999999995</v>
      </c>
      <c r="Z63">
        <v>10.9</v>
      </c>
      <c r="AA63">
        <v>5</v>
      </c>
      <c r="AB63">
        <v>1</v>
      </c>
      <c r="AC63">
        <v>8</v>
      </c>
      <c r="AD63">
        <v>2</v>
      </c>
      <c r="AE63">
        <v>1</v>
      </c>
      <c r="AF63">
        <v>1</v>
      </c>
      <c r="AG63">
        <v>0</v>
      </c>
      <c r="AH63">
        <v>0.47058823529411764</v>
      </c>
      <c r="AI63">
        <v>0.11764705882352941</v>
      </c>
      <c r="AJ63">
        <v>5.8823529411764705E-2</v>
      </c>
      <c r="AK63">
        <v>5.8823529411764705E-2</v>
      </c>
      <c r="AL63">
        <v>0</v>
      </c>
    </row>
    <row r="64" spans="1:38" x14ac:dyDescent="0.25">
      <c r="A64">
        <v>2025</v>
      </c>
      <c r="B64" t="s">
        <v>120</v>
      </c>
      <c r="C64" t="s">
        <v>110</v>
      </c>
      <c r="D64" t="str" cm="1">
        <f t="array" ref="D64">_xlfn.XLOOKUP(1,('26 WR'!A:A=E64)*('26 WR'!B:B=F64),'26 WR'!C:C)</f>
        <v>D'Andre Swift</v>
      </c>
      <c r="E64" t="s">
        <v>23</v>
      </c>
      <c r="F64">
        <v>23</v>
      </c>
      <c r="G64">
        <v>80</v>
      </c>
      <c r="H64">
        <v>9.5</v>
      </c>
      <c r="I64">
        <v>13.9</v>
      </c>
      <c r="J64">
        <v>10.8</v>
      </c>
      <c r="K64">
        <v>16</v>
      </c>
      <c r="L64">
        <v>0</v>
      </c>
      <c r="M64">
        <v>25.5</v>
      </c>
      <c r="N64">
        <v>20.8</v>
      </c>
      <c r="O64">
        <v>15.1</v>
      </c>
      <c r="P64">
        <v>0</v>
      </c>
      <c r="Q64">
        <v>14.8</v>
      </c>
      <c r="R64">
        <v>9</v>
      </c>
      <c r="S64">
        <v>1.9</v>
      </c>
      <c r="T64">
        <v>20.8</v>
      </c>
      <c r="U64">
        <v>11.2</v>
      </c>
      <c r="V64">
        <v>22.6</v>
      </c>
      <c r="W64">
        <v>9</v>
      </c>
      <c r="X64">
        <v>21.9</v>
      </c>
      <c r="Y64">
        <f t="shared" si="0"/>
        <v>222.79999999999998</v>
      </c>
      <c r="Z64">
        <v>14.3</v>
      </c>
      <c r="AA64">
        <v>6</v>
      </c>
      <c r="AB64">
        <v>1</v>
      </c>
      <c r="AC64">
        <v>11</v>
      </c>
      <c r="AD64">
        <v>7</v>
      </c>
      <c r="AE64">
        <v>5</v>
      </c>
      <c r="AF64">
        <v>1</v>
      </c>
      <c r="AG64">
        <v>0</v>
      </c>
      <c r="AH64">
        <v>0.6470588235294118</v>
      </c>
      <c r="AI64">
        <v>0.4375</v>
      </c>
      <c r="AJ64">
        <v>0.3125</v>
      </c>
      <c r="AK64">
        <v>6.25E-2</v>
      </c>
      <c r="AL64">
        <v>0</v>
      </c>
    </row>
    <row r="65" spans="1:38" x14ac:dyDescent="0.25">
      <c r="A65">
        <v>2025</v>
      </c>
      <c r="B65" t="s">
        <v>122</v>
      </c>
      <c r="C65" t="s">
        <v>85</v>
      </c>
      <c r="D65" t="str" cm="1">
        <f t="array" ref="D65">_xlfn.XLOOKUP(1,('26 WR'!A:A=E65)*('26 WR'!B:B=F65),'26 WR'!C:C)</f>
        <v>David Montgomery</v>
      </c>
      <c r="E65" t="s">
        <v>23</v>
      </c>
      <c r="F65">
        <v>24</v>
      </c>
      <c r="G65">
        <v>82</v>
      </c>
      <c r="H65">
        <v>4.8</v>
      </c>
      <c r="I65">
        <v>3.9</v>
      </c>
      <c r="J65">
        <v>5.8</v>
      </c>
      <c r="K65">
        <v>12.8</v>
      </c>
      <c r="L65">
        <v>8.6</v>
      </c>
      <c r="M65">
        <v>6.1</v>
      </c>
      <c r="N65">
        <v>12.4</v>
      </c>
      <c r="O65">
        <v>5.8</v>
      </c>
      <c r="P65">
        <v>0</v>
      </c>
      <c r="Q65">
        <v>0</v>
      </c>
      <c r="R65">
        <v>0</v>
      </c>
      <c r="S65">
        <v>0</v>
      </c>
      <c r="T65">
        <v>5.3</v>
      </c>
      <c r="U65">
        <v>3</v>
      </c>
      <c r="V65">
        <v>2.1</v>
      </c>
      <c r="W65">
        <v>13.5</v>
      </c>
      <c r="X65">
        <v>3.2</v>
      </c>
      <c r="Y65">
        <f t="shared" si="0"/>
        <v>87.3</v>
      </c>
      <c r="Z65">
        <v>6.7</v>
      </c>
      <c r="AA65">
        <v>6</v>
      </c>
      <c r="AB65">
        <v>1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0.17647058823529413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2025</v>
      </c>
      <c r="B66" t="s">
        <v>127</v>
      </c>
      <c r="C66" t="s">
        <v>37</v>
      </c>
      <c r="D66" t="str" cm="1">
        <f t="array" ref="D66">_xlfn.XLOOKUP(1,('26 WR'!A:A=E66)*('26 WR'!B:B=F66),'26 WR'!C:C)</f>
        <v>Jaylen Warren</v>
      </c>
      <c r="E66" t="s">
        <v>23</v>
      </c>
      <c r="F66">
        <v>25</v>
      </c>
      <c r="G66">
        <v>88</v>
      </c>
      <c r="H66">
        <v>8.3000000000000007</v>
      </c>
      <c r="I66">
        <v>13.1</v>
      </c>
      <c r="J66">
        <v>29.4</v>
      </c>
      <c r="K66">
        <v>1.2</v>
      </c>
      <c r="L66">
        <v>18.2</v>
      </c>
      <c r="M66">
        <v>8.1</v>
      </c>
      <c r="N66">
        <v>5.9</v>
      </c>
      <c r="O66">
        <v>0</v>
      </c>
      <c r="P66">
        <v>11</v>
      </c>
      <c r="Q66">
        <v>10.1</v>
      </c>
      <c r="R66">
        <v>4.7</v>
      </c>
      <c r="S66">
        <v>6.7</v>
      </c>
      <c r="T66">
        <v>12.8</v>
      </c>
      <c r="U66">
        <v>14.3</v>
      </c>
      <c r="V66">
        <v>9.1999999999999993</v>
      </c>
      <c r="W66">
        <v>1.4</v>
      </c>
      <c r="X66">
        <v>6</v>
      </c>
      <c r="Y66">
        <f t="shared" ref="Y66:Y129" si="1">SUM(H66:X66)</f>
        <v>160.4</v>
      </c>
      <c r="Z66">
        <v>9.8000000000000007</v>
      </c>
      <c r="AA66">
        <v>6</v>
      </c>
      <c r="AB66">
        <v>1</v>
      </c>
      <c r="AC66">
        <v>7</v>
      </c>
      <c r="AD66">
        <v>2</v>
      </c>
      <c r="AE66">
        <v>1</v>
      </c>
      <c r="AF66">
        <v>1</v>
      </c>
      <c r="AG66">
        <v>0</v>
      </c>
      <c r="AH66">
        <v>0.41176470588235292</v>
      </c>
      <c r="AI66">
        <v>0.11764705882352941</v>
      </c>
      <c r="AJ66">
        <v>5.8823529411764705E-2</v>
      </c>
      <c r="AK66">
        <v>5.8823529411764705E-2</v>
      </c>
      <c r="AL66">
        <v>0</v>
      </c>
    </row>
    <row r="67" spans="1:38" x14ac:dyDescent="0.25">
      <c r="A67">
        <v>2025</v>
      </c>
      <c r="B67" t="s">
        <v>133</v>
      </c>
      <c r="C67" t="s">
        <v>31</v>
      </c>
      <c r="D67" t="str" cm="1">
        <f t="array" ref="D67">_xlfn.XLOOKUP(1,('26 WR'!A:A=E67)*('26 WR'!B:B=F67),'26 WR'!C:C)</f>
        <v>Bhayshul Tuten</v>
      </c>
      <c r="E67" t="s">
        <v>23</v>
      </c>
      <c r="F67">
        <v>26</v>
      </c>
      <c r="G67">
        <v>94</v>
      </c>
      <c r="H67">
        <v>15.7</v>
      </c>
      <c r="I67">
        <v>2.2999999999999998</v>
      </c>
      <c r="J67">
        <v>0</v>
      </c>
      <c r="K67">
        <v>0</v>
      </c>
      <c r="L67">
        <v>0</v>
      </c>
      <c r="M67">
        <v>0</v>
      </c>
      <c r="N67">
        <v>0</v>
      </c>
      <c r="O67">
        <v>5</v>
      </c>
      <c r="P67">
        <v>11.8</v>
      </c>
      <c r="Q67">
        <v>15.9</v>
      </c>
      <c r="R67">
        <v>11.1</v>
      </c>
      <c r="S67">
        <v>8.6999999999999993</v>
      </c>
      <c r="T67">
        <v>4.5</v>
      </c>
      <c r="U67">
        <v>7.6</v>
      </c>
      <c r="V67">
        <v>9.5</v>
      </c>
      <c r="W67">
        <v>11.3</v>
      </c>
      <c r="X67">
        <v>15.3</v>
      </c>
      <c r="Y67">
        <f t="shared" si="1"/>
        <v>118.69999999999999</v>
      </c>
      <c r="Z67">
        <v>9.9</v>
      </c>
      <c r="AA67">
        <v>7</v>
      </c>
      <c r="AB67">
        <v>1</v>
      </c>
      <c r="AC67">
        <v>6</v>
      </c>
      <c r="AD67">
        <v>3</v>
      </c>
      <c r="AE67">
        <v>0</v>
      </c>
      <c r="AF67">
        <v>0</v>
      </c>
      <c r="AG67">
        <v>0</v>
      </c>
      <c r="AH67">
        <v>0.35294117647058826</v>
      </c>
      <c r="AI67">
        <v>0.25</v>
      </c>
      <c r="AJ67">
        <v>0</v>
      </c>
      <c r="AK67">
        <v>0</v>
      </c>
      <c r="AL67">
        <v>0</v>
      </c>
    </row>
    <row r="68" spans="1:38" x14ac:dyDescent="0.25">
      <c r="A68">
        <v>2025</v>
      </c>
      <c r="B68" t="s">
        <v>141</v>
      </c>
      <c r="C68" t="s">
        <v>43</v>
      </c>
      <c r="D68" t="str" cm="1">
        <f t="array" ref="D68">_xlfn.XLOOKUP(1,('26 WR'!A:A=E68)*('26 WR'!B:B=F68),'26 WR'!C:C)</f>
        <v>Jadarian Price</v>
      </c>
      <c r="E68" t="s">
        <v>23</v>
      </c>
      <c r="F68">
        <v>27</v>
      </c>
      <c r="G68">
        <v>104</v>
      </c>
      <c r="H68">
        <v>5.5</v>
      </c>
      <c r="I68">
        <v>9.1</v>
      </c>
      <c r="J68">
        <v>5.6</v>
      </c>
      <c r="K68">
        <v>0</v>
      </c>
      <c r="L68">
        <v>0</v>
      </c>
      <c r="M68">
        <v>0.6</v>
      </c>
      <c r="N68">
        <v>10.6</v>
      </c>
      <c r="O68">
        <v>7.3</v>
      </c>
      <c r="P68">
        <v>6.7</v>
      </c>
      <c r="Q68">
        <v>8.1</v>
      </c>
      <c r="R68">
        <v>17.899999999999999</v>
      </c>
      <c r="S68">
        <v>16</v>
      </c>
      <c r="T68">
        <v>4.3</v>
      </c>
      <c r="U68">
        <v>0</v>
      </c>
      <c r="V68">
        <v>24.7</v>
      </c>
      <c r="W68">
        <v>9.8000000000000007</v>
      </c>
      <c r="X68">
        <v>6.7</v>
      </c>
      <c r="Y68">
        <f t="shared" si="1"/>
        <v>132.9</v>
      </c>
      <c r="Z68">
        <v>10.7</v>
      </c>
      <c r="AA68">
        <v>7</v>
      </c>
      <c r="AB68">
        <v>1</v>
      </c>
      <c r="AC68">
        <v>5</v>
      </c>
      <c r="AD68">
        <v>4</v>
      </c>
      <c r="AE68">
        <v>2</v>
      </c>
      <c r="AF68">
        <v>1</v>
      </c>
      <c r="AG68">
        <v>0</v>
      </c>
      <c r="AH68">
        <v>0.29411764705882354</v>
      </c>
      <c r="AI68">
        <v>0.26666666666666666</v>
      </c>
      <c r="AJ68">
        <v>0.13333333333333333</v>
      </c>
      <c r="AK68">
        <v>6.6666666666666666E-2</v>
      </c>
      <c r="AL68">
        <v>0</v>
      </c>
    </row>
    <row r="69" spans="1:38" x14ac:dyDescent="0.25">
      <c r="A69">
        <v>2025</v>
      </c>
      <c r="B69" t="s">
        <v>142</v>
      </c>
      <c r="C69" t="s">
        <v>80</v>
      </c>
      <c r="D69" t="str" cm="1">
        <f t="array" ref="D69">_xlfn.XLOOKUP(1,('26 WR'!A:A=E69)*('26 WR'!B:B=F69),'26 WR'!C:C)</f>
        <v>Chuba Hubbard</v>
      </c>
      <c r="E69" t="s">
        <v>23</v>
      </c>
      <c r="F69">
        <v>28</v>
      </c>
      <c r="G69">
        <v>106</v>
      </c>
      <c r="H69">
        <v>14.2</v>
      </c>
      <c r="I69">
        <v>1.7</v>
      </c>
      <c r="J69">
        <v>10.1</v>
      </c>
      <c r="K69">
        <v>7.7</v>
      </c>
      <c r="L69">
        <v>27</v>
      </c>
      <c r="M69">
        <v>5.8</v>
      </c>
      <c r="N69">
        <v>4.2</v>
      </c>
      <c r="O69">
        <v>2.5</v>
      </c>
      <c r="P69">
        <v>5.0999999999999996</v>
      </c>
      <c r="Q69">
        <v>3</v>
      </c>
      <c r="R69">
        <v>4.3</v>
      </c>
      <c r="S69">
        <v>0</v>
      </c>
      <c r="T69">
        <v>2</v>
      </c>
      <c r="U69">
        <v>3.2</v>
      </c>
      <c r="V69">
        <v>15.6</v>
      </c>
      <c r="W69">
        <v>8.5</v>
      </c>
      <c r="X69">
        <v>22.5</v>
      </c>
      <c r="Y69">
        <f t="shared" si="1"/>
        <v>137.39999999999998</v>
      </c>
      <c r="Z69">
        <v>8.3000000000000007</v>
      </c>
      <c r="AA69">
        <v>7</v>
      </c>
      <c r="AB69">
        <v>1</v>
      </c>
      <c r="AC69">
        <v>5</v>
      </c>
      <c r="AD69">
        <v>3</v>
      </c>
      <c r="AE69">
        <v>2</v>
      </c>
      <c r="AF69">
        <v>1</v>
      </c>
      <c r="AG69">
        <v>0</v>
      </c>
      <c r="AH69">
        <v>0.29411764705882354</v>
      </c>
      <c r="AI69">
        <v>0.17647058823529413</v>
      </c>
      <c r="AJ69">
        <v>0.11764705882352941</v>
      </c>
      <c r="AK69">
        <v>5.8823529411764705E-2</v>
      </c>
      <c r="AL69">
        <v>0</v>
      </c>
    </row>
    <row r="70" spans="1:38" x14ac:dyDescent="0.25">
      <c r="A70">
        <v>2025</v>
      </c>
      <c r="B70" t="s">
        <v>146</v>
      </c>
      <c r="C70" t="s">
        <v>31</v>
      </c>
      <c r="D70" t="str" cm="1">
        <f t="array" ref="D70">_xlfn.XLOOKUP(1,('26 WR'!A:A=E70)*('26 WR'!B:B=F70),'26 WR'!C:C)</f>
        <v>Rhamondre Stevenson</v>
      </c>
      <c r="E70" t="s">
        <v>23</v>
      </c>
      <c r="F70">
        <v>29</v>
      </c>
      <c r="G70">
        <v>109</v>
      </c>
      <c r="H70">
        <v>8.5</v>
      </c>
      <c r="I70">
        <v>5.8</v>
      </c>
      <c r="J70">
        <v>23.6</v>
      </c>
      <c r="K70">
        <v>10.199999999999999</v>
      </c>
      <c r="L70">
        <v>12.6</v>
      </c>
      <c r="M70">
        <v>0</v>
      </c>
      <c r="N70">
        <v>11.7</v>
      </c>
      <c r="O70">
        <v>1.6</v>
      </c>
      <c r="P70">
        <v>4.7</v>
      </c>
      <c r="Q70">
        <v>4.0999999999999996</v>
      </c>
      <c r="R70">
        <v>10.5</v>
      </c>
      <c r="S70">
        <v>4.2</v>
      </c>
      <c r="T70">
        <v>5.8</v>
      </c>
      <c r="U70">
        <v>11.2</v>
      </c>
      <c r="V70">
        <v>2.9</v>
      </c>
      <c r="W70">
        <v>2.1</v>
      </c>
      <c r="X70">
        <v>0</v>
      </c>
      <c r="Y70">
        <f t="shared" si="1"/>
        <v>119.5</v>
      </c>
      <c r="Z70">
        <v>8.1</v>
      </c>
      <c r="AA70">
        <v>8</v>
      </c>
      <c r="AB70">
        <v>1</v>
      </c>
      <c r="AC70">
        <v>6</v>
      </c>
      <c r="AD70">
        <v>1</v>
      </c>
      <c r="AE70">
        <v>1</v>
      </c>
      <c r="AF70">
        <v>0</v>
      </c>
      <c r="AG70">
        <v>0</v>
      </c>
      <c r="AH70">
        <v>0.35294117647058826</v>
      </c>
      <c r="AI70">
        <v>6.25E-2</v>
      </c>
      <c r="AJ70">
        <v>6.25E-2</v>
      </c>
      <c r="AK70">
        <v>0</v>
      </c>
      <c r="AL70">
        <v>0</v>
      </c>
    </row>
    <row r="71" spans="1:38" x14ac:dyDescent="0.25">
      <c r="A71">
        <v>2025</v>
      </c>
      <c r="B71" t="s">
        <v>150</v>
      </c>
      <c r="C71" t="s">
        <v>108</v>
      </c>
      <c r="D71" t="str" cm="1">
        <f t="array" ref="D71">_xlfn.XLOOKUP(1,('26 WR'!A:A=E71)*('26 WR'!B:B=F71),'26 WR'!C:C)</f>
        <v>Tony Pollard</v>
      </c>
      <c r="E71" t="s">
        <v>23</v>
      </c>
      <c r="F71">
        <v>30</v>
      </c>
      <c r="G71">
        <v>113</v>
      </c>
      <c r="H71">
        <v>13.9</v>
      </c>
      <c r="I71">
        <v>17.399999999999999</v>
      </c>
      <c r="J71">
        <v>13.1</v>
      </c>
      <c r="K71">
        <v>0</v>
      </c>
      <c r="L71">
        <v>0</v>
      </c>
      <c r="M71">
        <v>8.3000000000000007</v>
      </c>
      <c r="N71">
        <v>19.8</v>
      </c>
      <c r="O71">
        <v>9.3000000000000007</v>
      </c>
      <c r="P71">
        <v>16.899999999999999</v>
      </c>
      <c r="Q71">
        <v>11.1</v>
      </c>
      <c r="R71">
        <v>8.6999999999999993</v>
      </c>
      <c r="S71">
        <v>12.8</v>
      </c>
      <c r="T71">
        <v>12.4</v>
      </c>
      <c r="U71">
        <v>15.2</v>
      </c>
      <c r="V71">
        <v>7.8</v>
      </c>
      <c r="W71">
        <v>29.1</v>
      </c>
      <c r="X71">
        <v>6.4</v>
      </c>
      <c r="Y71">
        <f t="shared" si="1"/>
        <v>202.2</v>
      </c>
      <c r="Z71">
        <v>13.6</v>
      </c>
      <c r="AA71">
        <v>8</v>
      </c>
      <c r="AB71">
        <v>1</v>
      </c>
      <c r="AC71">
        <v>11</v>
      </c>
      <c r="AD71">
        <v>5</v>
      </c>
      <c r="AE71">
        <v>1</v>
      </c>
      <c r="AF71">
        <v>1</v>
      </c>
      <c r="AG71">
        <v>0</v>
      </c>
      <c r="AH71">
        <v>0.6470588235294118</v>
      </c>
      <c r="AI71">
        <v>0.3125</v>
      </c>
      <c r="AJ71">
        <v>6.25E-2</v>
      </c>
      <c r="AK71">
        <v>6.25E-2</v>
      </c>
      <c r="AL71">
        <v>0</v>
      </c>
    </row>
    <row r="72" spans="1:38" x14ac:dyDescent="0.25">
      <c r="A72">
        <v>2025</v>
      </c>
      <c r="B72" t="s">
        <v>153</v>
      </c>
      <c r="C72" t="s">
        <v>74</v>
      </c>
      <c r="D72" t="str" cm="1">
        <f t="array" ref="D72">_xlfn.XLOOKUP(1,('26 WR'!A:A=E72)*('26 WR'!B:B=F72),'26 WR'!C:C)</f>
        <v>RJ Harvey</v>
      </c>
      <c r="E72" t="s">
        <v>23</v>
      </c>
      <c r="F72">
        <v>31</v>
      </c>
      <c r="G72">
        <v>116</v>
      </c>
      <c r="H72">
        <v>10.7</v>
      </c>
      <c r="I72">
        <v>1</v>
      </c>
      <c r="J72">
        <v>0</v>
      </c>
      <c r="K72">
        <v>12.4</v>
      </c>
      <c r="L72">
        <v>11.8</v>
      </c>
      <c r="M72">
        <v>4.7</v>
      </c>
      <c r="N72">
        <v>19.5</v>
      </c>
      <c r="O72">
        <v>0</v>
      </c>
      <c r="P72">
        <v>5.6</v>
      </c>
      <c r="Q72">
        <v>14.3</v>
      </c>
      <c r="R72">
        <v>6.7</v>
      </c>
      <c r="S72">
        <v>9.5</v>
      </c>
      <c r="T72">
        <v>11.2</v>
      </c>
      <c r="U72">
        <v>8.6</v>
      </c>
      <c r="V72">
        <v>3.1</v>
      </c>
      <c r="W72">
        <v>17.399999999999999</v>
      </c>
      <c r="X72">
        <v>26.2</v>
      </c>
      <c r="Y72">
        <f t="shared" si="1"/>
        <v>162.69999999999999</v>
      </c>
      <c r="Z72">
        <v>11.3</v>
      </c>
      <c r="AA72">
        <v>8</v>
      </c>
      <c r="AB72">
        <v>1</v>
      </c>
      <c r="AC72">
        <v>9</v>
      </c>
      <c r="AD72">
        <v>4</v>
      </c>
      <c r="AE72">
        <v>1</v>
      </c>
      <c r="AF72">
        <v>1</v>
      </c>
      <c r="AG72">
        <v>0</v>
      </c>
      <c r="AH72">
        <v>0.52941176470588236</v>
      </c>
      <c r="AI72">
        <v>0.25</v>
      </c>
      <c r="AJ72">
        <v>6.25E-2</v>
      </c>
      <c r="AK72">
        <v>6.25E-2</v>
      </c>
      <c r="AL72">
        <v>0</v>
      </c>
    </row>
    <row r="73" spans="1:38" x14ac:dyDescent="0.25">
      <c r="A73">
        <v>2025</v>
      </c>
      <c r="B73" t="s">
        <v>159</v>
      </c>
      <c r="C73" t="s">
        <v>51</v>
      </c>
      <c r="D73" t="str" cm="1">
        <f t="array" ref="D73">_xlfn.XLOOKUP(1,('26 WR'!A:A=E73)*('26 WR'!B:B=F73),'26 WR'!C:C)</f>
        <v>Rico Dowdle</v>
      </c>
      <c r="E73" t="s">
        <v>23</v>
      </c>
      <c r="F73">
        <v>32</v>
      </c>
      <c r="G73">
        <v>122</v>
      </c>
      <c r="H73">
        <v>18.600000000000001</v>
      </c>
      <c r="I73">
        <v>16.899999999999999</v>
      </c>
      <c r="J73">
        <v>11.6</v>
      </c>
      <c r="K73">
        <v>19.5</v>
      </c>
      <c r="L73">
        <v>8.8000000000000007</v>
      </c>
      <c r="M73">
        <v>9.5</v>
      </c>
      <c r="N73">
        <v>6.5</v>
      </c>
      <c r="O73">
        <v>0</v>
      </c>
      <c r="P73">
        <v>16.5</v>
      </c>
      <c r="Q73">
        <v>15.7</v>
      </c>
      <c r="R73">
        <v>19.3</v>
      </c>
      <c r="S73">
        <v>20.6</v>
      </c>
      <c r="T73">
        <v>5.0999999999999996</v>
      </c>
      <c r="U73">
        <v>21.2</v>
      </c>
      <c r="V73">
        <v>31.5</v>
      </c>
      <c r="W73">
        <v>16.600000000000001</v>
      </c>
      <c r="X73">
        <v>11.2</v>
      </c>
      <c r="Y73">
        <f t="shared" si="1"/>
        <v>249.09999999999997</v>
      </c>
      <c r="Z73">
        <v>14.9</v>
      </c>
      <c r="AA73">
        <v>9</v>
      </c>
      <c r="AB73">
        <v>1</v>
      </c>
      <c r="AC73">
        <v>12</v>
      </c>
      <c r="AD73">
        <v>10</v>
      </c>
      <c r="AE73">
        <v>3</v>
      </c>
      <c r="AF73">
        <v>1</v>
      </c>
      <c r="AG73">
        <v>1</v>
      </c>
      <c r="AH73">
        <v>0.70588235294117652</v>
      </c>
      <c r="AI73">
        <v>0.58823529411764708</v>
      </c>
      <c r="AJ73">
        <v>0.17647058823529413</v>
      </c>
      <c r="AK73">
        <v>5.8823529411764705E-2</v>
      </c>
      <c r="AL73">
        <v>5.8823529411764705E-2</v>
      </c>
    </row>
    <row r="74" spans="1:38" x14ac:dyDescent="0.25">
      <c r="A74">
        <v>2025</v>
      </c>
      <c r="B74" t="s">
        <v>160</v>
      </c>
      <c r="C74" t="s">
        <v>98</v>
      </c>
      <c r="D74" t="str" cm="1">
        <f t="array" ref="D74">_xlfn.XLOOKUP(1,('26 WR'!A:A=E74)*('26 WR'!B:B=F74),'26 WR'!C:C)</f>
        <v>Kenny Gainwell</v>
      </c>
      <c r="E74" t="s">
        <v>23</v>
      </c>
      <c r="F74">
        <v>33</v>
      </c>
      <c r="G74">
        <v>123</v>
      </c>
      <c r="H74">
        <v>14.8</v>
      </c>
      <c r="I74">
        <v>15.5</v>
      </c>
      <c r="J74">
        <v>15.3</v>
      </c>
      <c r="K74">
        <v>11.5</v>
      </c>
      <c r="L74">
        <v>15.4</v>
      </c>
      <c r="M74">
        <v>4</v>
      </c>
      <c r="N74">
        <v>9</v>
      </c>
      <c r="O74">
        <v>14.1</v>
      </c>
      <c r="P74">
        <v>6.9</v>
      </c>
      <c r="Q74">
        <v>9.4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f t="shared" si="1"/>
        <v>115.9</v>
      </c>
      <c r="Z74">
        <v>11.6</v>
      </c>
      <c r="AA74">
        <v>9</v>
      </c>
      <c r="AB74">
        <v>1</v>
      </c>
      <c r="AC74">
        <v>6</v>
      </c>
      <c r="AD74">
        <v>3</v>
      </c>
      <c r="AE74">
        <v>0</v>
      </c>
      <c r="AF74">
        <v>0</v>
      </c>
      <c r="AG74">
        <v>0</v>
      </c>
      <c r="AH74">
        <v>0.35294117647058826</v>
      </c>
      <c r="AI74">
        <v>0.3</v>
      </c>
      <c r="AJ74">
        <v>0</v>
      </c>
      <c r="AK74">
        <v>0</v>
      </c>
      <c r="AL74">
        <v>0</v>
      </c>
    </row>
    <row r="75" spans="1:38" x14ac:dyDescent="0.25">
      <c r="A75">
        <v>2025</v>
      </c>
      <c r="B75" t="s">
        <v>165</v>
      </c>
      <c r="C75" t="s">
        <v>39</v>
      </c>
      <c r="D75" t="str" cm="1">
        <f t="array" ref="D75">_xlfn.XLOOKUP(1,('26 WR'!A:A=E75)*('26 WR'!B:B=F75),'26 WR'!C:C)</f>
        <v>Kyle Monangai</v>
      </c>
      <c r="E75" t="s">
        <v>23</v>
      </c>
      <c r="F75">
        <v>34</v>
      </c>
      <c r="G75">
        <v>126</v>
      </c>
      <c r="H75">
        <v>6</v>
      </c>
      <c r="I75">
        <v>15.2</v>
      </c>
      <c r="J75">
        <v>7</v>
      </c>
      <c r="K75">
        <v>8.1999999999999993</v>
      </c>
      <c r="L75">
        <v>12.1</v>
      </c>
      <c r="M75">
        <v>0</v>
      </c>
      <c r="N75">
        <v>2.1</v>
      </c>
      <c r="O75">
        <v>8.9</v>
      </c>
      <c r="P75">
        <v>3.4</v>
      </c>
      <c r="Q75">
        <v>6.2</v>
      </c>
      <c r="R75">
        <v>1.7</v>
      </c>
      <c r="S75">
        <v>2.5</v>
      </c>
      <c r="T75">
        <v>9.4</v>
      </c>
      <c r="U75">
        <v>0.3</v>
      </c>
      <c r="V75">
        <v>0</v>
      </c>
      <c r="W75">
        <v>5.2</v>
      </c>
      <c r="X75">
        <v>0.1</v>
      </c>
      <c r="Y75">
        <f t="shared" si="1"/>
        <v>88.3</v>
      </c>
      <c r="Z75">
        <v>5.9</v>
      </c>
      <c r="AA75">
        <v>10</v>
      </c>
      <c r="AB75">
        <v>1</v>
      </c>
      <c r="AC75">
        <v>2</v>
      </c>
      <c r="AD75">
        <v>1</v>
      </c>
      <c r="AE75">
        <v>0</v>
      </c>
      <c r="AF75">
        <v>0</v>
      </c>
      <c r="AG75">
        <v>0</v>
      </c>
      <c r="AH75">
        <v>0.11764705882352941</v>
      </c>
      <c r="AI75">
        <v>6.6666666666666666E-2</v>
      </c>
      <c r="AJ75">
        <v>0</v>
      </c>
      <c r="AK75">
        <v>0</v>
      </c>
      <c r="AL75">
        <v>0</v>
      </c>
    </row>
    <row r="76" spans="1:38" x14ac:dyDescent="0.25">
      <c r="A76">
        <v>2025</v>
      </c>
      <c r="B76" t="s">
        <v>169</v>
      </c>
      <c r="C76" t="s">
        <v>35</v>
      </c>
      <c r="D76" t="str" cm="1">
        <f t="array" ref="D76">_xlfn.XLOOKUP(1,('26 WR'!A:A=E76)*('26 WR'!B:B=F76),'26 WR'!C:C)</f>
        <v>J.K. Dobbins</v>
      </c>
      <c r="E76" t="s">
        <v>23</v>
      </c>
      <c r="F76">
        <v>35</v>
      </c>
      <c r="G76">
        <v>129</v>
      </c>
      <c r="H76">
        <v>20.399999999999999</v>
      </c>
      <c r="I76">
        <v>25</v>
      </c>
      <c r="J76">
        <v>12.2</v>
      </c>
      <c r="K76">
        <v>19</v>
      </c>
      <c r="L76">
        <v>26.9</v>
      </c>
      <c r="M76">
        <v>8.4</v>
      </c>
      <c r="N76">
        <v>18.8</v>
      </c>
      <c r="O76">
        <v>17.899999999999999</v>
      </c>
      <c r="P76">
        <v>7.3</v>
      </c>
      <c r="Q76">
        <v>0</v>
      </c>
      <c r="R76">
        <v>10.3</v>
      </c>
      <c r="S76">
        <v>12.1</v>
      </c>
      <c r="T76">
        <v>17</v>
      </c>
      <c r="U76">
        <v>14.7</v>
      </c>
      <c r="V76">
        <v>15.1</v>
      </c>
      <c r="W76">
        <v>6.3</v>
      </c>
      <c r="X76">
        <v>11.4</v>
      </c>
      <c r="Y76">
        <f t="shared" si="1"/>
        <v>242.80000000000004</v>
      </c>
      <c r="Z76">
        <v>15.2</v>
      </c>
      <c r="AA76">
        <v>9</v>
      </c>
      <c r="AB76">
        <v>1</v>
      </c>
      <c r="AC76">
        <v>13</v>
      </c>
      <c r="AD76">
        <v>8</v>
      </c>
      <c r="AE76">
        <v>3</v>
      </c>
      <c r="AF76">
        <v>1</v>
      </c>
      <c r="AG76">
        <v>0</v>
      </c>
      <c r="AH76">
        <v>0.76470588235294112</v>
      </c>
      <c r="AI76">
        <v>0.5</v>
      </c>
      <c r="AJ76">
        <v>0.1875</v>
      </c>
      <c r="AK76">
        <v>6.25E-2</v>
      </c>
      <c r="AL76">
        <v>0</v>
      </c>
    </row>
    <row r="77" spans="1:38" x14ac:dyDescent="0.25">
      <c r="A77">
        <v>2025</v>
      </c>
      <c r="B77" t="s">
        <v>180</v>
      </c>
      <c r="C77" t="s">
        <v>43</v>
      </c>
      <c r="D77" t="str" cm="1">
        <f t="array" ref="D77">_xlfn.XLOOKUP(1,('26 WR'!A:A=E77)*('26 WR'!B:B=F77),'26 WR'!C:C)</f>
        <v>Aaron Jones Sr.</v>
      </c>
      <c r="E77" t="s">
        <v>23</v>
      </c>
      <c r="F77">
        <v>36</v>
      </c>
      <c r="G77">
        <v>140</v>
      </c>
      <c r="H77">
        <v>2.9</v>
      </c>
      <c r="I77">
        <v>13.9</v>
      </c>
      <c r="J77">
        <v>24.1</v>
      </c>
      <c r="K77">
        <v>13</v>
      </c>
      <c r="L77">
        <v>14.4</v>
      </c>
      <c r="M77">
        <v>31</v>
      </c>
      <c r="N77">
        <v>18.399999999999999</v>
      </c>
      <c r="O77">
        <v>10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f t="shared" si="1"/>
        <v>127.70000000000002</v>
      </c>
      <c r="Z77">
        <v>16</v>
      </c>
      <c r="AA77">
        <v>10</v>
      </c>
      <c r="AB77">
        <v>1</v>
      </c>
      <c r="AC77">
        <v>6</v>
      </c>
      <c r="AD77">
        <v>3</v>
      </c>
      <c r="AE77">
        <v>2</v>
      </c>
      <c r="AF77">
        <v>1</v>
      </c>
      <c r="AG77">
        <v>1</v>
      </c>
      <c r="AH77">
        <v>0.35294117647058826</v>
      </c>
      <c r="AI77">
        <v>0.375</v>
      </c>
      <c r="AJ77">
        <v>0.25</v>
      </c>
      <c r="AK77">
        <v>0.125</v>
      </c>
      <c r="AL77">
        <v>0.125</v>
      </c>
    </row>
    <row r="78" spans="1:38" x14ac:dyDescent="0.25">
      <c r="A78">
        <v>2025</v>
      </c>
      <c r="B78" t="s">
        <v>186</v>
      </c>
      <c r="C78" t="s">
        <v>132</v>
      </c>
      <c r="D78" t="str" cm="1">
        <f t="array" ref="D78">_xlfn.XLOOKUP(1,('26 WR'!A:A=E78)*('26 WR'!B:B=F78),'26 WR'!C:C)</f>
        <v>Blake Corum</v>
      </c>
      <c r="E78" t="s">
        <v>23</v>
      </c>
      <c r="F78">
        <v>37</v>
      </c>
      <c r="G78">
        <v>146</v>
      </c>
      <c r="H78">
        <v>17.3</v>
      </c>
      <c r="I78">
        <v>10.9</v>
      </c>
      <c r="J78">
        <v>0.2</v>
      </c>
      <c r="K78">
        <v>0.2</v>
      </c>
      <c r="L78">
        <v>1.2</v>
      </c>
      <c r="M78">
        <v>4.4000000000000004</v>
      </c>
      <c r="N78">
        <v>2.7</v>
      </c>
      <c r="O78">
        <v>7.9</v>
      </c>
      <c r="P78">
        <v>0</v>
      </c>
      <c r="Q78">
        <v>0.9</v>
      </c>
      <c r="R78">
        <v>1.9</v>
      </c>
      <c r="S78">
        <v>16.2</v>
      </c>
      <c r="T78">
        <v>2.2999999999999998</v>
      </c>
      <c r="U78">
        <v>9.8000000000000007</v>
      </c>
      <c r="V78">
        <v>0</v>
      </c>
      <c r="W78">
        <v>0</v>
      </c>
      <c r="X78">
        <v>5.7</v>
      </c>
      <c r="Y78">
        <f t="shared" si="1"/>
        <v>81.599999999999994</v>
      </c>
      <c r="Z78">
        <v>5.8</v>
      </c>
      <c r="AA78">
        <v>13</v>
      </c>
      <c r="AB78">
        <v>1</v>
      </c>
      <c r="AC78">
        <v>3</v>
      </c>
      <c r="AD78">
        <v>2</v>
      </c>
      <c r="AE78">
        <v>0</v>
      </c>
      <c r="AF78">
        <v>0</v>
      </c>
      <c r="AG78">
        <v>0</v>
      </c>
      <c r="AH78">
        <v>0.17647058823529413</v>
      </c>
      <c r="AI78">
        <v>0.13333333333333333</v>
      </c>
      <c r="AJ78">
        <v>0</v>
      </c>
      <c r="AK78">
        <v>0</v>
      </c>
      <c r="AL78">
        <v>0</v>
      </c>
    </row>
    <row r="79" spans="1:38" x14ac:dyDescent="0.25">
      <c r="A79">
        <v>2025</v>
      </c>
      <c r="B79" t="s">
        <v>193</v>
      </c>
      <c r="C79" t="s">
        <v>65</v>
      </c>
      <c r="D79" t="str" cm="1">
        <f t="array" ref="D79">_xlfn.XLOOKUP(1,('26 WR'!A:A=E79)*('26 WR'!B:B=F79),'26 WR'!C:C)</f>
        <v>Rachaad White</v>
      </c>
      <c r="E79" t="s">
        <v>23</v>
      </c>
      <c r="F79">
        <v>38</v>
      </c>
      <c r="G79">
        <v>151</v>
      </c>
      <c r="H79">
        <v>2</v>
      </c>
      <c r="I79">
        <v>6.8</v>
      </c>
      <c r="J79">
        <v>2.8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f t="shared" si="1"/>
        <v>11.600000000000001</v>
      </c>
      <c r="Z79">
        <v>3.9</v>
      </c>
      <c r="AA79">
        <v>20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2025</v>
      </c>
      <c r="B80" t="s">
        <v>195</v>
      </c>
      <c r="C80" t="s">
        <v>68</v>
      </c>
      <c r="D80" t="str" cm="1">
        <f t="array" ref="D80">_xlfn.XLOOKUP(1,('26 WR'!A:A=E80)*('26 WR'!B:B=F80),'26 WR'!C:C)</f>
        <v>Jacory Croskey-Merritt</v>
      </c>
      <c r="E80" t="s">
        <v>23</v>
      </c>
      <c r="F80">
        <v>39</v>
      </c>
      <c r="G80">
        <v>154</v>
      </c>
      <c r="H80">
        <v>1.1000000000000001</v>
      </c>
      <c r="I80">
        <v>2.4</v>
      </c>
      <c r="J80">
        <v>0</v>
      </c>
      <c r="K80">
        <v>0.3</v>
      </c>
      <c r="L80">
        <v>0.1</v>
      </c>
      <c r="M80">
        <v>9.9</v>
      </c>
      <c r="N80">
        <v>0</v>
      </c>
      <c r="O80">
        <v>1.6</v>
      </c>
      <c r="P80">
        <v>0</v>
      </c>
      <c r="Q80">
        <v>0.8</v>
      </c>
      <c r="R80">
        <v>0</v>
      </c>
      <c r="S80">
        <v>6</v>
      </c>
      <c r="T80">
        <v>6.2</v>
      </c>
      <c r="U80">
        <v>0</v>
      </c>
      <c r="V80">
        <v>2.2999999999999998</v>
      </c>
      <c r="W80">
        <v>5.4</v>
      </c>
      <c r="X80">
        <v>2.6</v>
      </c>
      <c r="Y80">
        <f t="shared" si="1"/>
        <v>38.700000000000003</v>
      </c>
      <c r="Z80">
        <v>3.8</v>
      </c>
      <c r="AA80">
        <v>14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5.8823529411764705E-2</v>
      </c>
      <c r="AI80">
        <v>5.8823529411764705E-2</v>
      </c>
      <c r="AJ80">
        <v>5.8823529411764705E-2</v>
      </c>
      <c r="AK80">
        <v>5.8823529411764705E-2</v>
      </c>
      <c r="AL80">
        <v>0</v>
      </c>
    </row>
    <row r="81" spans="1:38" x14ac:dyDescent="0.25">
      <c r="A81">
        <v>2025</v>
      </c>
      <c r="B81" t="s">
        <v>198</v>
      </c>
      <c r="C81" t="s">
        <v>90</v>
      </c>
      <c r="D81" t="str" cm="1">
        <f t="array" ref="D81">_xlfn.XLOOKUP(1,('26 WR'!A:A=E81)*('26 WR'!B:B=F81),'26 WR'!C:C)</f>
        <v>Tyrone Tracy Jr.</v>
      </c>
      <c r="E81" t="s">
        <v>23</v>
      </c>
      <c r="F81">
        <v>40</v>
      </c>
      <c r="G81">
        <v>156</v>
      </c>
      <c r="H81">
        <v>6.9</v>
      </c>
      <c r="I81">
        <v>1.1000000000000001</v>
      </c>
      <c r="J81">
        <v>6.7</v>
      </c>
      <c r="K81">
        <v>0.6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f t="shared" si="1"/>
        <v>15.299999999999999</v>
      </c>
      <c r="Z81">
        <v>3.8</v>
      </c>
      <c r="AA81">
        <v>20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2025</v>
      </c>
      <c r="B82" t="s">
        <v>199</v>
      </c>
      <c r="C82" t="s">
        <v>132</v>
      </c>
      <c r="D82" t="str" cm="1">
        <f t="array" ref="D82">_xlfn.XLOOKUP(1,('26 WR'!A:A=E82)*('26 WR'!B:B=F82),'26 WR'!C:C)</f>
        <v>Jordan Mason</v>
      </c>
      <c r="E82" t="s">
        <v>23</v>
      </c>
      <c r="F82">
        <v>41</v>
      </c>
      <c r="G82">
        <v>157</v>
      </c>
      <c r="H82">
        <v>1.5</v>
      </c>
      <c r="I82">
        <v>10.4</v>
      </c>
      <c r="J82">
        <v>5</v>
      </c>
      <c r="K82">
        <v>1.3</v>
      </c>
      <c r="L82">
        <v>5.8</v>
      </c>
      <c r="M82">
        <v>8</v>
      </c>
      <c r="N82">
        <v>3</v>
      </c>
      <c r="O82">
        <v>0.9</v>
      </c>
      <c r="P82">
        <v>0</v>
      </c>
      <c r="Q82">
        <v>0.1</v>
      </c>
      <c r="R82">
        <v>0.2</v>
      </c>
      <c r="S82">
        <v>0.3</v>
      </c>
      <c r="T82">
        <v>4.7</v>
      </c>
      <c r="U82">
        <v>3</v>
      </c>
      <c r="V82">
        <v>0</v>
      </c>
      <c r="W82">
        <v>0</v>
      </c>
      <c r="X82">
        <v>0</v>
      </c>
      <c r="Y82">
        <f t="shared" si="1"/>
        <v>44.2</v>
      </c>
      <c r="Z82">
        <v>3.4</v>
      </c>
      <c r="AA82">
        <v>20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5.8823529411764705E-2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2025</v>
      </c>
      <c r="B83" t="s">
        <v>203</v>
      </c>
      <c r="C83" t="s">
        <v>57</v>
      </c>
      <c r="D83" t="str" cm="1">
        <f t="array" ref="D83">_xlfn.XLOOKUP(1,('26 WR'!A:A=E83)*('26 WR'!B:B=F83),'26 WR'!C:C)</f>
        <v>Woody Marks</v>
      </c>
      <c r="E83" t="s">
        <v>23</v>
      </c>
      <c r="F83">
        <v>42</v>
      </c>
      <c r="G83">
        <v>160</v>
      </c>
      <c r="H83">
        <v>2.6</v>
      </c>
      <c r="I83">
        <v>14.6</v>
      </c>
      <c r="J83">
        <v>2.4</v>
      </c>
      <c r="K83">
        <v>8.6</v>
      </c>
      <c r="L83">
        <v>23.1</v>
      </c>
      <c r="M83">
        <v>17.600000000000001</v>
      </c>
      <c r="N83">
        <v>8.4</v>
      </c>
      <c r="O83">
        <v>8.1</v>
      </c>
      <c r="P83">
        <v>0</v>
      </c>
      <c r="Q83">
        <v>10.4</v>
      </c>
      <c r="R83">
        <v>8.1999999999999993</v>
      </c>
      <c r="S83">
        <v>5.2</v>
      </c>
      <c r="T83">
        <v>5.9</v>
      </c>
      <c r="U83">
        <v>6.5</v>
      </c>
      <c r="V83">
        <v>3.6</v>
      </c>
      <c r="W83">
        <v>8</v>
      </c>
      <c r="X83">
        <v>3.7</v>
      </c>
      <c r="Y83">
        <f t="shared" si="1"/>
        <v>136.9</v>
      </c>
      <c r="Z83">
        <v>8.4</v>
      </c>
      <c r="AA83">
        <v>14</v>
      </c>
      <c r="AB83">
        <v>1</v>
      </c>
      <c r="AC83">
        <v>4</v>
      </c>
      <c r="AD83">
        <v>2</v>
      </c>
      <c r="AE83">
        <v>1</v>
      </c>
      <c r="AF83">
        <v>0</v>
      </c>
      <c r="AG83">
        <v>0</v>
      </c>
      <c r="AH83">
        <v>0.23529411764705882</v>
      </c>
      <c r="AI83">
        <v>0.11764705882352941</v>
      </c>
      <c r="AJ83">
        <v>5.8823529411764705E-2</v>
      </c>
      <c r="AK83">
        <v>0</v>
      </c>
      <c r="AL83">
        <v>0</v>
      </c>
    </row>
    <row r="84" spans="1:38" x14ac:dyDescent="0.25">
      <c r="A84">
        <v>2025</v>
      </c>
      <c r="B84" t="s">
        <v>207</v>
      </c>
      <c r="C84" t="s">
        <v>24</v>
      </c>
      <c r="D84" t="str" cm="1">
        <f t="array" ref="D84">_xlfn.XLOOKUP(1,('26 WR'!A:A=E84)*('26 WR'!B:B=F84),'26 WR'!C:C)</f>
        <v>Tyler Allgeier</v>
      </c>
      <c r="E84" t="s">
        <v>23</v>
      </c>
      <c r="F84">
        <v>43</v>
      </c>
      <c r="G84">
        <v>164</v>
      </c>
      <c r="H84">
        <v>2.4</v>
      </c>
      <c r="I84">
        <v>15</v>
      </c>
      <c r="J84">
        <v>1.4</v>
      </c>
      <c r="K84">
        <v>11.1</v>
      </c>
      <c r="L84">
        <v>0</v>
      </c>
      <c r="M84">
        <v>10.8</v>
      </c>
      <c r="N84">
        <v>1.6</v>
      </c>
      <c r="O84">
        <v>9.4</v>
      </c>
      <c r="P84">
        <v>0.6</v>
      </c>
      <c r="Q84">
        <v>17.7</v>
      </c>
      <c r="R84">
        <v>9.6</v>
      </c>
      <c r="S84">
        <v>5.9</v>
      </c>
      <c r="T84">
        <v>13.5</v>
      </c>
      <c r="U84">
        <v>8.6999999999999993</v>
      </c>
      <c r="V84">
        <v>1.8</v>
      </c>
      <c r="W84">
        <v>8.3000000000000007</v>
      </c>
      <c r="X84">
        <v>2.2999999999999998</v>
      </c>
      <c r="Y84">
        <f t="shared" si="1"/>
        <v>120.1</v>
      </c>
      <c r="Z84">
        <v>7.2</v>
      </c>
      <c r="AA84">
        <v>14</v>
      </c>
      <c r="AB84">
        <v>1</v>
      </c>
      <c r="AC84">
        <v>5</v>
      </c>
      <c r="AD84">
        <v>1</v>
      </c>
      <c r="AE84">
        <v>0</v>
      </c>
      <c r="AF84">
        <v>0</v>
      </c>
      <c r="AG84">
        <v>0</v>
      </c>
      <c r="AH84">
        <v>0.29411764705882354</v>
      </c>
      <c r="AI84">
        <v>5.8823529411764705E-2</v>
      </c>
      <c r="AJ84">
        <v>0</v>
      </c>
      <c r="AK84">
        <v>0</v>
      </c>
      <c r="AL84">
        <v>0</v>
      </c>
    </row>
    <row r="85" spans="1:38" x14ac:dyDescent="0.25">
      <c r="A85">
        <v>2025</v>
      </c>
      <c r="B85" t="s">
        <v>211</v>
      </c>
      <c r="C85" t="s">
        <v>39</v>
      </c>
      <c r="D85" t="str" cm="1">
        <f t="array" ref="D85">_xlfn.XLOOKUP(1,('26 WR'!A:A=E85)*('26 WR'!B:B=F85),'26 WR'!C:C)</f>
        <v>Zach Charbonnet</v>
      </c>
      <c r="E85" t="s">
        <v>23</v>
      </c>
      <c r="F85">
        <v>44</v>
      </c>
      <c r="G85">
        <v>168</v>
      </c>
      <c r="H85">
        <v>0.3</v>
      </c>
      <c r="I85">
        <v>6.1</v>
      </c>
      <c r="J85">
        <v>4.5999999999999996</v>
      </c>
      <c r="K85">
        <v>27.9</v>
      </c>
      <c r="L85">
        <v>2.4</v>
      </c>
      <c r="M85">
        <v>0</v>
      </c>
      <c r="N85">
        <v>12.5</v>
      </c>
      <c r="O85">
        <v>15.1</v>
      </c>
      <c r="P85">
        <v>2.7</v>
      </c>
      <c r="Q85">
        <v>16.100000000000001</v>
      </c>
      <c r="R85">
        <v>6.1</v>
      </c>
      <c r="S85">
        <v>7.9</v>
      </c>
      <c r="T85">
        <v>7.7</v>
      </c>
      <c r="U85">
        <v>15.6</v>
      </c>
      <c r="V85">
        <v>10.8</v>
      </c>
      <c r="W85">
        <v>0</v>
      </c>
      <c r="X85">
        <v>8.5</v>
      </c>
      <c r="Y85">
        <f t="shared" si="1"/>
        <v>144.29999999999998</v>
      </c>
      <c r="Z85">
        <v>9.4</v>
      </c>
      <c r="AA85">
        <v>15</v>
      </c>
      <c r="AB85">
        <v>1</v>
      </c>
      <c r="AC85">
        <v>6</v>
      </c>
      <c r="AD85">
        <v>4</v>
      </c>
      <c r="AE85">
        <v>1</v>
      </c>
      <c r="AF85">
        <v>1</v>
      </c>
      <c r="AG85">
        <v>0</v>
      </c>
      <c r="AH85">
        <v>0.35294117647058826</v>
      </c>
      <c r="AI85">
        <v>0.25</v>
      </c>
      <c r="AJ85">
        <v>6.25E-2</v>
      </c>
      <c r="AK85">
        <v>6.25E-2</v>
      </c>
      <c r="AL85">
        <v>0</v>
      </c>
    </row>
    <row r="86" spans="1:38" x14ac:dyDescent="0.25">
      <c r="A86">
        <v>2025</v>
      </c>
      <c r="B86" t="s">
        <v>212</v>
      </c>
      <c r="C86" t="s">
        <v>92</v>
      </c>
      <c r="D86" t="str" cm="1">
        <f t="array" ref="D86">_xlfn.XLOOKUP(1,('26 WR'!A:A=E86)*('26 WR'!B:B=F86),'26 WR'!C:C)</f>
        <v>Tyjae Spears</v>
      </c>
      <c r="E86" t="s">
        <v>23</v>
      </c>
      <c r="F86">
        <v>45</v>
      </c>
      <c r="G86">
        <v>169</v>
      </c>
      <c r="H86">
        <v>3.6</v>
      </c>
      <c r="I86">
        <v>2.9</v>
      </c>
      <c r="J86">
        <v>10.8</v>
      </c>
      <c r="K86">
        <v>4</v>
      </c>
      <c r="L86">
        <v>32.4</v>
      </c>
      <c r="M86">
        <v>33.9</v>
      </c>
      <c r="N86">
        <v>10.6</v>
      </c>
      <c r="O86">
        <v>5.4</v>
      </c>
      <c r="P86">
        <v>28.1</v>
      </c>
      <c r="Q86">
        <v>15.3</v>
      </c>
      <c r="R86">
        <v>15</v>
      </c>
      <c r="S86">
        <v>11.4</v>
      </c>
      <c r="T86">
        <v>9.9</v>
      </c>
      <c r="U86">
        <v>0</v>
      </c>
      <c r="V86">
        <v>12.4</v>
      </c>
      <c r="W86">
        <v>8.3000000000000007</v>
      </c>
      <c r="X86">
        <v>9.3000000000000007</v>
      </c>
      <c r="Y86">
        <f t="shared" si="1"/>
        <v>213.30000000000004</v>
      </c>
      <c r="Z86">
        <v>12.7</v>
      </c>
      <c r="AA86">
        <v>15</v>
      </c>
      <c r="AB86">
        <v>1</v>
      </c>
      <c r="AC86">
        <v>9</v>
      </c>
      <c r="AD86">
        <v>4</v>
      </c>
      <c r="AE86">
        <v>3</v>
      </c>
      <c r="AF86">
        <v>3</v>
      </c>
      <c r="AG86">
        <v>2</v>
      </c>
      <c r="AH86">
        <v>0.52941176470588236</v>
      </c>
      <c r="AI86">
        <v>0.23529411764705882</v>
      </c>
      <c r="AJ86">
        <v>0.17647058823529413</v>
      </c>
      <c r="AK86">
        <v>0.17647058823529413</v>
      </c>
      <c r="AL86">
        <v>0.11764705882352941</v>
      </c>
    </row>
    <row r="87" spans="1:38" x14ac:dyDescent="0.25">
      <c r="A87">
        <v>2025</v>
      </c>
      <c r="B87" t="s">
        <v>217</v>
      </c>
      <c r="C87" t="s">
        <v>33</v>
      </c>
      <c r="D87" t="str" cm="1">
        <f t="array" ref="D87">_xlfn.XLOOKUP(1,('26 WR'!A:A=E87)*('26 WR'!B:B=F87),'26 WR'!C:C)</f>
        <v>Jonathon Brooks</v>
      </c>
      <c r="E87" t="s">
        <v>23</v>
      </c>
      <c r="F87">
        <v>46</v>
      </c>
      <c r="G87">
        <v>174</v>
      </c>
      <c r="H87">
        <v>2.6</v>
      </c>
      <c r="I87">
        <v>0</v>
      </c>
      <c r="J87">
        <v>0</v>
      </c>
      <c r="K87">
        <v>0</v>
      </c>
      <c r="L87">
        <v>1.4</v>
      </c>
      <c r="M87">
        <v>0</v>
      </c>
      <c r="N87">
        <v>1.7</v>
      </c>
      <c r="O87">
        <v>0.2</v>
      </c>
      <c r="P87">
        <v>0</v>
      </c>
      <c r="Q87">
        <v>5.4</v>
      </c>
      <c r="R87">
        <v>0</v>
      </c>
      <c r="S87">
        <v>0</v>
      </c>
      <c r="T87">
        <v>2.1</v>
      </c>
      <c r="U87">
        <v>1.3</v>
      </c>
      <c r="V87">
        <v>0</v>
      </c>
      <c r="W87">
        <v>0.7</v>
      </c>
      <c r="X87">
        <v>0.2</v>
      </c>
      <c r="Y87">
        <f t="shared" si="1"/>
        <v>15.6</v>
      </c>
      <c r="Z87">
        <v>1.2</v>
      </c>
      <c r="AA87">
        <v>20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2025</v>
      </c>
      <c r="B88" t="s">
        <v>221</v>
      </c>
      <c r="C88" t="s">
        <v>114</v>
      </c>
      <c r="D88" t="str" cm="1">
        <f t="array" ref="D88">_xlfn.XLOOKUP(1,('26 WR'!A:A=E88)*('26 WR'!B:B=F88),'26 WR'!C:C)</f>
        <v>Chris Rodriguez Jr.</v>
      </c>
      <c r="E88" t="s">
        <v>23</v>
      </c>
      <c r="F88">
        <v>47</v>
      </c>
      <c r="G88">
        <v>177</v>
      </c>
      <c r="H88">
        <v>0</v>
      </c>
      <c r="I88">
        <v>0</v>
      </c>
      <c r="J88">
        <v>0</v>
      </c>
      <c r="K88">
        <v>0</v>
      </c>
      <c r="L88">
        <v>1.4</v>
      </c>
      <c r="M88">
        <v>9</v>
      </c>
      <c r="N88">
        <v>7</v>
      </c>
      <c r="O88">
        <v>17.2</v>
      </c>
      <c r="P88">
        <v>9.1999999999999993</v>
      </c>
      <c r="Q88">
        <v>0</v>
      </c>
      <c r="R88">
        <v>8.4</v>
      </c>
      <c r="S88">
        <v>6.5</v>
      </c>
      <c r="T88">
        <v>8.4</v>
      </c>
      <c r="U88">
        <v>6.7</v>
      </c>
      <c r="V88">
        <v>5.6</v>
      </c>
      <c r="W88">
        <v>21.5</v>
      </c>
      <c r="X88">
        <v>1.1000000000000001</v>
      </c>
      <c r="Y88">
        <f t="shared" si="1"/>
        <v>101.99999999999999</v>
      </c>
      <c r="Z88">
        <v>8.6</v>
      </c>
      <c r="AA88">
        <v>15</v>
      </c>
      <c r="AB88">
        <v>1</v>
      </c>
      <c r="AC88">
        <v>2</v>
      </c>
      <c r="AD88">
        <v>2</v>
      </c>
      <c r="AE88">
        <v>1</v>
      </c>
      <c r="AF88">
        <v>0</v>
      </c>
      <c r="AG88">
        <v>0</v>
      </c>
      <c r="AH88">
        <v>0.11764705882352941</v>
      </c>
      <c r="AI88">
        <v>0.15384615384615385</v>
      </c>
      <c r="AJ88">
        <v>7.6923076923076927E-2</v>
      </c>
      <c r="AK88">
        <v>0</v>
      </c>
      <c r="AL88">
        <v>0</v>
      </c>
    </row>
    <row r="89" spans="1:38" x14ac:dyDescent="0.25">
      <c r="A89">
        <v>2025</v>
      </c>
      <c r="B89" t="s">
        <v>223</v>
      </c>
      <c r="C89" t="s">
        <v>85</v>
      </c>
      <c r="D89" t="str" cm="1">
        <f t="array" ref="D89">_xlfn.XLOOKUP(1,('26 WR'!A:A=E89)*('26 WR'!B:B=F89),'26 WR'!C:C)</f>
        <v>Dylan Sampson</v>
      </c>
      <c r="E89" t="s">
        <v>23</v>
      </c>
      <c r="F89">
        <v>48</v>
      </c>
      <c r="G89">
        <v>178</v>
      </c>
      <c r="H89">
        <v>4.5999999999999996</v>
      </c>
      <c r="I89">
        <v>4.4000000000000004</v>
      </c>
      <c r="J89">
        <v>11.4</v>
      </c>
      <c r="K89">
        <v>5.7</v>
      </c>
      <c r="L89">
        <v>18.7</v>
      </c>
      <c r="M89">
        <v>4.4000000000000004</v>
      </c>
      <c r="N89">
        <v>1.8</v>
      </c>
      <c r="O89">
        <v>17.2</v>
      </c>
      <c r="P89">
        <v>12.5</v>
      </c>
      <c r="Q89">
        <v>0</v>
      </c>
      <c r="R89">
        <v>13.2</v>
      </c>
      <c r="S89">
        <v>20</v>
      </c>
      <c r="T89">
        <v>9</v>
      </c>
      <c r="U89">
        <v>9</v>
      </c>
      <c r="V89">
        <v>3</v>
      </c>
      <c r="W89">
        <v>0.2</v>
      </c>
      <c r="X89">
        <v>3.8</v>
      </c>
      <c r="Y89">
        <f t="shared" si="1"/>
        <v>138.89999999999998</v>
      </c>
      <c r="Z89">
        <v>8.6</v>
      </c>
      <c r="AA89">
        <v>16</v>
      </c>
      <c r="AB89">
        <v>1</v>
      </c>
      <c r="AC89">
        <v>6</v>
      </c>
      <c r="AD89">
        <v>3</v>
      </c>
      <c r="AE89">
        <v>0</v>
      </c>
      <c r="AF89">
        <v>0</v>
      </c>
      <c r="AG89">
        <v>0</v>
      </c>
      <c r="AH89">
        <v>0.35294117647058826</v>
      </c>
      <c r="AI89">
        <v>0.17647058823529413</v>
      </c>
      <c r="AJ89">
        <v>0</v>
      </c>
      <c r="AK89">
        <v>0</v>
      </c>
      <c r="AL89">
        <v>0</v>
      </c>
    </row>
    <row r="90" spans="1:38" x14ac:dyDescent="0.25">
      <c r="A90">
        <v>2025</v>
      </c>
      <c r="B90" t="s">
        <v>225</v>
      </c>
      <c r="C90" t="s">
        <v>80</v>
      </c>
      <c r="D90" t="str" cm="1">
        <f t="array" ref="D90">_xlfn.XLOOKUP(1,('26 WR'!A:A=E90)*('26 WR'!B:B=F90),'26 WR'!C:C)</f>
        <v>Isiah Pacheco</v>
      </c>
      <c r="E90" t="s">
        <v>23</v>
      </c>
      <c r="F90">
        <v>49</v>
      </c>
      <c r="G90">
        <v>181</v>
      </c>
      <c r="H90">
        <v>0</v>
      </c>
      <c r="I90">
        <v>0</v>
      </c>
      <c r="J90">
        <v>3.9</v>
      </c>
      <c r="K90">
        <v>5.9</v>
      </c>
      <c r="L90">
        <v>0.7</v>
      </c>
      <c r="M90">
        <v>0</v>
      </c>
      <c r="N90">
        <v>7.2</v>
      </c>
      <c r="O90">
        <v>0.2</v>
      </c>
      <c r="P90">
        <v>12.5</v>
      </c>
      <c r="Q90">
        <v>7.6</v>
      </c>
      <c r="R90">
        <v>9.5</v>
      </c>
      <c r="S90">
        <v>0</v>
      </c>
      <c r="T90">
        <v>10.1</v>
      </c>
      <c r="U90">
        <v>5.2</v>
      </c>
      <c r="V90">
        <v>0</v>
      </c>
      <c r="W90">
        <v>13.9</v>
      </c>
      <c r="X90">
        <v>0</v>
      </c>
      <c r="Y90">
        <f t="shared" si="1"/>
        <v>76.7</v>
      </c>
      <c r="Z90">
        <v>7.1</v>
      </c>
      <c r="AA90">
        <v>16</v>
      </c>
      <c r="AB90">
        <v>1</v>
      </c>
      <c r="AC90">
        <v>4</v>
      </c>
      <c r="AD90">
        <v>1</v>
      </c>
      <c r="AE90">
        <v>0</v>
      </c>
      <c r="AF90">
        <v>0</v>
      </c>
      <c r="AG90">
        <v>0</v>
      </c>
      <c r="AH90">
        <v>0.23529411764705882</v>
      </c>
      <c r="AI90">
        <v>7.6923076923076927E-2</v>
      </c>
      <c r="AJ90">
        <v>0</v>
      </c>
      <c r="AK90">
        <v>0</v>
      </c>
      <c r="AL90">
        <v>0</v>
      </c>
    </row>
    <row r="91" spans="1:38" x14ac:dyDescent="0.25">
      <c r="A91">
        <v>2025</v>
      </c>
      <c r="B91" t="s">
        <v>228</v>
      </c>
      <c r="C91" t="s">
        <v>26</v>
      </c>
      <c r="D91" t="str" cm="1">
        <f t="array" ref="D91">_xlfn.XLOOKUP(1,('26 WR'!A:A=E91)*('26 WR'!B:B=F91),'26 WR'!C:C)</f>
        <v>Alvin Kamara</v>
      </c>
      <c r="E91" t="s">
        <v>23</v>
      </c>
      <c r="F91">
        <v>50</v>
      </c>
      <c r="G91">
        <v>184</v>
      </c>
      <c r="H91">
        <v>4.7</v>
      </c>
      <c r="I91">
        <v>2.9</v>
      </c>
      <c r="J91">
        <v>2.2000000000000002</v>
      </c>
      <c r="K91">
        <v>2.1</v>
      </c>
      <c r="L91">
        <v>1.2</v>
      </c>
      <c r="M91">
        <v>3.8</v>
      </c>
      <c r="N91">
        <v>3.6</v>
      </c>
      <c r="O91">
        <v>0</v>
      </c>
      <c r="P91">
        <v>11.3</v>
      </c>
      <c r="Q91">
        <v>11.5</v>
      </c>
      <c r="R91">
        <v>2.4</v>
      </c>
      <c r="S91">
        <v>5.4</v>
      </c>
      <c r="T91">
        <v>2.6</v>
      </c>
      <c r="U91">
        <v>0</v>
      </c>
      <c r="V91">
        <v>2.1</v>
      </c>
      <c r="W91">
        <v>2</v>
      </c>
      <c r="X91">
        <v>3.8</v>
      </c>
      <c r="Y91">
        <f t="shared" si="1"/>
        <v>61.599999999999994</v>
      </c>
      <c r="Z91">
        <v>3.7</v>
      </c>
      <c r="AA91">
        <v>11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0.11764705882352941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2025</v>
      </c>
      <c r="B92" t="s">
        <v>233</v>
      </c>
      <c r="C92" t="s">
        <v>41</v>
      </c>
      <c r="D92" t="str" cm="1">
        <f t="array" ref="D92">_xlfn.XLOOKUP(1,('26 WR'!A:A=E92)*('26 WR'!B:B=F92),'26 WR'!C:C)</f>
        <v>Keaton Mitchell</v>
      </c>
      <c r="E92" t="s">
        <v>23</v>
      </c>
      <c r="F92">
        <v>51</v>
      </c>
      <c r="G92">
        <v>188</v>
      </c>
      <c r="H92">
        <v>0</v>
      </c>
      <c r="I92">
        <v>0</v>
      </c>
      <c r="J92">
        <v>0</v>
      </c>
      <c r="K92">
        <v>0</v>
      </c>
      <c r="L92">
        <v>2.2999999999999998</v>
      </c>
      <c r="M92">
        <v>0</v>
      </c>
      <c r="N92">
        <v>0</v>
      </c>
      <c r="O92">
        <v>4.3</v>
      </c>
      <c r="P92">
        <v>2.8</v>
      </c>
      <c r="Q92">
        <v>3.1</v>
      </c>
      <c r="R92">
        <v>7.4</v>
      </c>
      <c r="S92">
        <v>2.9</v>
      </c>
      <c r="T92">
        <v>11.1</v>
      </c>
      <c r="U92">
        <v>7.6</v>
      </c>
      <c r="V92">
        <v>6.6</v>
      </c>
      <c r="W92">
        <v>1.3</v>
      </c>
      <c r="X92">
        <v>5.8</v>
      </c>
      <c r="Y92">
        <f t="shared" si="1"/>
        <v>55.199999999999996</v>
      </c>
      <c r="Z92">
        <v>4.3</v>
      </c>
      <c r="AA92">
        <v>16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5.8823529411764705E-2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2025</v>
      </c>
      <c r="B93" t="s">
        <v>239</v>
      </c>
      <c r="C93" t="s">
        <v>41</v>
      </c>
      <c r="D93" t="str" cm="1">
        <f t="array" ref="D93">_xlfn.XLOOKUP(1,('26 WR'!A:A=E93)*('26 WR'!B:B=F93),'26 WR'!C:C)</f>
        <v>Jonah Coleman</v>
      </c>
      <c r="E93" t="s">
        <v>23</v>
      </c>
      <c r="F93">
        <v>52</v>
      </c>
      <c r="G93">
        <v>194</v>
      </c>
      <c r="H93">
        <v>0.1</v>
      </c>
      <c r="I93">
        <v>5.5</v>
      </c>
      <c r="J93">
        <v>7.5</v>
      </c>
      <c r="K93">
        <v>28.7</v>
      </c>
      <c r="L93">
        <v>2.2000000000000002</v>
      </c>
      <c r="M93">
        <v>9.4</v>
      </c>
      <c r="N93">
        <v>0</v>
      </c>
      <c r="O93">
        <v>0.2</v>
      </c>
      <c r="P93">
        <v>3.5</v>
      </c>
      <c r="Q93">
        <v>8.3000000000000007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f t="shared" si="1"/>
        <v>65.400000000000006</v>
      </c>
      <c r="Z93">
        <v>6.5</v>
      </c>
      <c r="AA93">
        <v>17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0</v>
      </c>
      <c r="AH93">
        <v>5.8823529411764705E-2</v>
      </c>
      <c r="AI93">
        <v>0.1</v>
      </c>
      <c r="AJ93">
        <v>0.1</v>
      </c>
      <c r="AK93">
        <v>0.1</v>
      </c>
      <c r="AL93">
        <v>0</v>
      </c>
    </row>
    <row r="94" spans="1:38" x14ac:dyDescent="0.25">
      <c r="A94">
        <v>2025</v>
      </c>
      <c r="B94" t="s">
        <v>241</v>
      </c>
      <c r="C94" t="s">
        <v>55</v>
      </c>
      <c r="D94" t="str" cm="1">
        <f t="array" ref="D94">_xlfn.XLOOKUP(1,('26 WR'!A:A=E94)*('26 WR'!B:B=F94),'26 WR'!C:C)</f>
        <v>Brian Robinson Jr.</v>
      </c>
      <c r="E94" t="s">
        <v>23</v>
      </c>
      <c r="F94">
        <v>53</v>
      </c>
      <c r="G94">
        <v>196</v>
      </c>
      <c r="H94">
        <v>4.0999999999999996</v>
      </c>
      <c r="I94">
        <v>0</v>
      </c>
      <c r="J94">
        <v>0.3</v>
      </c>
      <c r="K94">
        <v>0</v>
      </c>
      <c r="L94">
        <v>2.2000000000000002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f t="shared" si="1"/>
        <v>6.6</v>
      </c>
      <c r="Z94">
        <v>1.1000000000000001</v>
      </c>
      <c r="AA94">
        <v>20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2025</v>
      </c>
      <c r="B95" t="s">
        <v>248</v>
      </c>
      <c r="C95" t="s">
        <v>49</v>
      </c>
      <c r="D95" t="str" cm="1">
        <f t="array" ref="D95">_xlfn.XLOOKUP(1,('26 WR'!A:A=E95)*('26 WR'!B:B=F95),'26 WR'!C:C)</f>
        <v>Tank Bigsby</v>
      </c>
      <c r="E95" t="s">
        <v>23</v>
      </c>
      <c r="F95">
        <v>54</v>
      </c>
      <c r="G95">
        <v>204</v>
      </c>
      <c r="H95">
        <v>2.6</v>
      </c>
      <c r="I95">
        <v>10.4</v>
      </c>
      <c r="J95">
        <v>5.3</v>
      </c>
      <c r="K95">
        <v>3.6</v>
      </c>
      <c r="L95">
        <v>1.3</v>
      </c>
      <c r="M95">
        <v>2.2999999999999998</v>
      </c>
      <c r="N95">
        <v>5.3</v>
      </c>
      <c r="O95">
        <v>0</v>
      </c>
      <c r="P95">
        <v>5.8</v>
      </c>
      <c r="Q95">
        <v>5.6</v>
      </c>
      <c r="R95">
        <v>1.5</v>
      </c>
      <c r="S95">
        <v>2.4</v>
      </c>
      <c r="T95">
        <v>14.1</v>
      </c>
      <c r="U95">
        <v>26.1</v>
      </c>
      <c r="V95">
        <v>13.1</v>
      </c>
      <c r="W95">
        <v>13.1</v>
      </c>
      <c r="X95">
        <v>1.8</v>
      </c>
      <c r="Y95">
        <f t="shared" si="1"/>
        <v>114.3</v>
      </c>
      <c r="Z95">
        <v>7.2</v>
      </c>
      <c r="AA95">
        <v>18</v>
      </c>
      <c r="AB95">
        <v>1</v>
      </c>
      <c r="AC95">
        <v>5</v>
      </c>
      <c r="AD95">
        <v>1</v>
      </c>
      <c r="AE95">
        <v>1</v>
      </c>
      <c r="AF95">
        <v>1</v>
      </c>
      <c r="AG95">
        <v>0</v>
      </c>
      <c r="AH95">
        <v>0.29411764705882354</v>
      </c>
      <c r="AI95">
        <v>5.8823529411764705E-2</v>
      </c>
      <c r="AJ95">
        <v>5.8823529411764705E-2</v>
      </c>
      <c r="AK95">
        <v>5.8823529411764705E-2</v>
      </c>
      <c r="AL95">
        <v>0</v>
      </c>
    </row>
    <row r="96" spans="1:38" x14ac:dyDescent="0.25">
      <c r="A96">
        <v>2025</v>
      </c>
      <c r="B96" t="s">
        <v>254</v>
      </c>
      <c r="C96" t="s">
        <v>96</v>
      </c>
      <c r="D96" t="str" cm="1">
        <f t="array" ref="D96">_xlfn.XLOOKUP(1,('26 WR'!A:A=E96)*('26 WR'!B:B=F96),'26 WR'!C:C)</f>
        <v>Braelon Allen</v>
      </c>
      <c r="E96" t="s">
        <v>23</v>
      </c>
      <c r="F96">
        <v>55</v>
      </c>
      <c r="G96">
        <v>209</v>
      </c>
      <c r="H96">
        <v>2.4</v>
      </c>
      <c r="I96">
        <v>2</v>
      </c>
      <c r="J96">
        <v>5.6</v>
      </c>
      <c r="K96">
        <v>12.5</v>
      </c>
      <c r="L96">
        <v>5.9</v>
      </c>
      <c r="M96">
        <v>4.2</v>
      </c>
      <c r="N96">
        <v>0.7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f t="shared" si="1"/>
        <v>33.300000000000004</v>
      </c>
      <c r="Z96">
        <v>4.8</v>
      </c>
      <c r="AA96">
        <v>20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5.8823529411764705E-2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2025</v>
      </c>
      <c r="B97" t="s">
        <v>255</v>
      </c>
      <c r="C97" t="s">
        <v>110</v>
      </c>
      <c r="D97" t="str" cm="1">
        <f t="array" ref="D97">_xlfn.XLOOKUP(1,('26 WR'!A:A=E97)*('26 WR'!B:B=F97),'26 WR'!C:C)</f>
        <v>James Conner</v>
      </c>
      <c r="E97" t="s">
        <v>23</v>
      </c>
      <c r="F97">
        <v>56</v>
      </c>
      <c r="G97">
        <v>210</v>
      </c>
      <c r="H97">
        <v>2.1</v>
      </c>
      <c r="I97">
        <v>4.5999999999999996</v>
      </c>
      <c r="J97">
        <v>3</v>
      </c>
      <c r="K97">
        <v>1.8</v>
      </c>
      <c r="L97">
        <v>0</v>
      </c>
      <c r="M97">
        <v>5.4</v>
      </c>
      <c r="N97">
        <v>17.399999999999999</v>
      </c>
      <c r="O97">
        <v>2.4</v>
      </c>
      <c r="P97">
        <v>22.8</v>
      </c>
      <c r="Q97">
        <v>8.8000000000000007</v>
      </c>
      <c r="R97">
        <v>10.7</v>
      </c>
      <c r="S97">
        <v>10.8</v>
      </c>
      <c r="T97">
        <v>19</v>
      </c>
      <c r="U97">
        <v>8.6999999999999993</v>
      </c>
      <c r="V97">
        <v>3.3</v>
      </c>
      <c r="W97">
        <v>12.3</v>
      </c>
      <c r="X97">
        <v>7.7</v>
      </c>
      <c r="Y97">
        <f t="shared" si="1"/>
        <v>140.79999999999998</v>
      </c>
      <c r="Z97">
        <v>8.6</v>
      </c>
      <c r="AA97">
        <v>19</v>
      </c>
      <c r="AB97">
        <v>1</v>
      </c>
      <c r="AC97">
        <v>6</v>
      </c>
      <c r="AD97">
        <v>3</v>
      </c>
      <c r="AE97">
        <v>1</v>
      </c>
      <c r="AF97">
        <v>0</v>
      </c>
      <c r="AG97">
        <v>0</v>
      </c>
      <c r="AH97">
        <v>0.35294117647058826</v>
      </c>
      <c r="AI97">
        <v>0.17647058823529413</v>
      </c>
      <c r="AJ97">
        <v>5.8823529411764705E-2</v>
      </c>
      <c r="AK97">
        <v>0</v>
      </c>
      <c r="AL97">
        <v>0</v>
      </c>
    </row>
    <row r="98" spans="1:38" x14ac:dyDescent="0.25">
      <c r="A98">
        <v>2025</v>
      </c>
      <c r="B98" t="s">
        <v>257</v>
      </c>
      <c r="C98" t="s">
        <v>59</v>
      </c>
      <c r="D98" t="str" cm="1">
        <f t="array" ref="D98">_xlfn.XLOOKUP(1,('26 WR'!A:A=E98)*('26 WR'!B:B=F98),'26 WR'!C:C)</f>
        <v>Emanuel Wilson</v>
      </c>
      <c r="E98" t="s">
        <v>23</v>
      </c>
      <c r="F98">
        <v>57</v>
      </c>
      <c r="G98">
        <v>212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3.8</v>
      </c>
      <c r="P98">
        <v>0</v>
      </c>
      <c r="Q98">
        <v>1.7</v>
      </c>
      <c r="R98">
        <v>0.4</v>
      </c>
      <c r="S98">
        <v>0</v>
      </c>
      <c r="T98">
        <v>1.6</v>
      </c>
      <c r="U98">
        <v>16.7</v>
      </c>
      <c r="V98">
        <v>2.1</v>
      </c>
      <c r="W98">
        <v>12.3</v>
      </c>
      <c r="X98">
        <v>5.6</v>
      </c>
      <c r="Y98">
        <f t="shared" si="1"/>
        <v>44.2</v>
      </c>
      <c r="Z98">
        <v>4.4000000000000004</v>
      </c>
      <c r="AA98">
        <v>20</v>
      </c>
      <c r="AB98">
        <v>1</v>
      </c>
      <c r="AC98">
        <v>2</v>
      </c>
      <c r="AD98">
        <v>1</v>
      </c>
      <c r="AE98">
        <v>0</v>
      </c>
      <c r="AF98">
        <v>0</v>
      </c>
      <c r="AG98">
        <v>0</v>
      </c>
      <c r="AH98">
        <v>0.11764705882352941</v>
      </c>
      <c r="AI98">
        <v>9.0909090909090912E-2</v>
      </c>
      <c r="AJ98">
        <v>0</v>
      </c>
      <c r="AK98">
        <v>0</v>
      </c>
      <c r="AL98">
        <v>0</v>
      </c>
    </row>
    <row r="99" spans="1:38" x14ac:dyDescent="0.25">
      <c r="A99">
        <v>2025</v>
      </c>
      <c r="B99" t="s">
        <v>260</v>
      </c>
      <c r="C99" t="s">
        <v>57</v>
      </c>
      <c r="D99" t="str" cm="1">
        <f t="array" ref="D99">_xlfn.XLOOKUP(1,('26 WR'!A:A=E99)*('26 WR'!B:B=F99),'26 WR'!C:C)</f>
        <v>Kimani Vidal</v>
      </c>
      <c r="E99" t="s">
        <v>23</v>
      </c>
      <c r="F99">
        <v>58</v>
      </c>
      <c r="G99">
        <v>216</v>
      </c>
      <c r="H99">
        <v>0.2</v>
      </c>
      <c r="I99">
        <v>0</v>
      </c>
      <c r="J99">
        <v>0</v>
      </c>
      <c r="K99">
        <v>0</v>
      </c>
      <c r="L99">
        <v>2.9</v>
      </c>
      <c r="M99">
        <v>8.5</v>
      </c>
      <c r="N99">
        <v>1.6</v>
      </c>
      <c r="O99">
        <v>10.199999999999999</v>
      </c>
      <c r="P99">
        <v>0</v>
      </c>
      <c r="Q99">
        <v>6.1</v>
      </c>
      <c r="R99">
        <v>34</v>
      </c>
      <c r="S99">
        <v>5.6</v>
      </c>
      <c r="T99">
        <v>0</v>
      </c>
      <c r="U99">
        <v>8.9</v>
      </c>
      <c r="V99">
        <v>6.7</v>
      </c>
      <c r="W99">
        <v>6.3</v>
      </c>
      <c r="X99">
        <v>0.8</v>
      </c>
      <c r="Y99">
        <f t="shared" si="1"/>
        <v>91.8</v>
      </c>
      <c r="Z99">
        <v>5.4</v>
      </c>
      <c r="AA99">
        <v>20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1</v>
      </c>
      <c r="AH99">
        <v>0.11764705882352941</v>
      </c>
      <c r="AI99">
        <v>5.8823529411764705E-2</v>
      </c>
      <c r="AJ99">
        <v>5.8823529411764705E-2</v>
      </c>
      <c r="AK99">
        <v>5.8823529411764705E-2</v>
      </c>
      <c r="AL99">
        <v>5.8823529411764705E-2</v>
      </c>
    </row>
    <row r="100" spans="1:38" x14ac:dyDescent="0.25">
      <c r="A100">
        <v>2025</v>
      </c>
      <c r="B100" t="s">
        <v>262</v>
      </c>
      <c r="C100" t="s">
        <v>85</v>
      </c>
      <c r="D100" t="str" cm="1">
        <f t="array" ref="D100">_xlfn.XLOOKUP(1,('26 WR'!A:A=E100)*('26 WR'!B:B=F100),'26 WR'!C:C)</f>
        <v>Emmett Johnson</v>
      </c>
      <c r="E100" t="s">
        <v>23</v>
      </c>
      <c r="F100">
        <v>59</v>
      </c>
      <c r="G100">
        <v>218</v>
      </c>
      <c r="H100">
        <v>0</v>
      </c>
      <c r="I100">
        <v>0.2</v>
      </c>
      <c r="J100">
        <v>1.3</v>
      </c>
      <c r="K100">
        <v>6.6</v>
      </c>
      <c r="L100">
        <v>6.6</v>
      </c>
      <c r="M100">
        <v>5.0999999999999996</v>
      </c>
      <c r="N100">
        <v>13.1</v>
      </c>
      <c r="O100">
        <v>0.8</v>
      </c>
      <c r="P100">
        <v>0.7</v>
      </c>
      <c r="Q100">
        <v>0</v>
      </c>
      <c r="R100">
        <v>2.8</v>
      </c>
      <c r="S100">
        <v>6.6</v>
      </c>
      <c r="T100">
        <v>0</v>
      </c>
      <c r="U100">
        <v>0.7</v>
      </c>
      <c r="V100">
        <v>0.1</v>
      </c>
      <c r="W100">
        <v>1.4</v>
      </c>
      <c r="X100">
        <v>9.5</v>
      </c>
      <c r="Y100">
        <f t="shared" si="1"/>
        <v>55.5</v>
      </c>
      <c r="Z100">
        <v>3.7</v>
      </c>
      <c r="AA100">
        <v>20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5.8823529411764705E-2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2025</v>
      </c>
      <c r="B101" t="s">
        <v>264</v>
      </c>
      <c r="C101" t="s">
        <v>29</v>
      </c>
      <c r="D101" t="str" cm="1">
        <f t="array" ref="D101">_xlfn.XLOOKUP(1,('26 WR'!A:A=E101)*('26 WR'!B:B=F101),'26 WR'!C:C)</f>
        <v>Ray Davis</v>
      </c>
      <c r="E101" t="s">
        <v>23</v>
      </c>
      <c r="F101">
        <v>60</v>
      </c>
      <c r="G101">
        <v>220</v>
      </c>
      <c r="H101">
        <v>0</v>
      </c>
      <c r="I101">
        <v>0</v>
      </c>
      <c r="J101">
        <v>0</v>
      </c>
      <c r="K101">
        <v>8.3000000000000007</v>
      </c>
      <c r="L101">
        <v>2.2000000000000002</v>
      </c>
      <c r="M101">
        <v>0.4</v>
      </c>
      <c r="N101">
        <v>1.2</v>
      </c>
      <c r="O101">
        <v>0</v>
      </c>
      <c r="P101">
        <v>2.4</v>
      </c>
      <c r="Q101">
        <v>2.5</v>
      </c>
      <c r="R101">
        <v>3.3</v>
      </c>
      <c r="S101">
        <v>5</v>
      </c>
      <c r="T101">
        <v>0.6</v>
      </c>
      <c r="U101">
        <v>1.2</v>
      </c>
      <c r="V101">
        <v>1.2</v>
      </c>
      <c r="W101">
        <v>1.9</v>
      </c>
      <c r="X101">
        <v>0</v>
      </c>
      <c r="Y101">
        <f t="shared" si="1"/>
        <v>30.2</v>
      </c>
      <c r="Z101">
        <v>2.5</v>
      </c>
      <c r="AA101">
        <v>20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2025</v>
      </c>
      <c r="B102" t="s">
        <v>266</v>
      </c>
      <c r="C102" t="s">
        <v>98</v>
      </c>
      <c r="D102" t="str" cm="1">
        <f t="array" ref="D102">_xlfn.XLOOKUP(1,('26 WR'!A:A=E102)*('26 WR'!B:B=F102),'26 WR'!C:C)</f>
        <v>Mike Washington Jr.</v>
      </c>
      <c r="E102" t="s">
        <v>23</v>
      </c>
      <c r="F102">
        <v>61</v>
      </c>
      <c r="G102">
        <v>222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8.4</v>
      </c>
      <c r="S102">
        <v>0</v>
      </c>
      <c r="T102">
        <v>4</v>
      </c>
      <c r="U102">
        <v>4.0999999999999996</v>
      </c>
      <c r="V102">
        <v>0.4</v>
      </c>
      <c r="W102">
        <v>3.7</v>
      </c>
      <c r="X102">
        <v>4</v>
      </c>
      <c r="Y102">
        <f t="shared" si="1"/>
        <v>24.599999999999998</v>
      </c>
      <c r="Z102">
        <v>3.9</v>
      </c>
      <c r="AA102">
        <v>20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2025</v>
      </c>
      <c r="B103" t="s">
        <v>267</v>
      </c>
      <c r="C103" t="s">
        <v>98</v>
      </c>
      <c r="D103" t="str" cm="1">
        <f t="array" ref="D103">_xlfn.XLOOKUP(1,('26 WR'!A:A=E103)*('26 WR'!B:B=F103),'26 WR'!C:C)</f>
        <v>Sean Tucker</v>
      </c>
      <c r="E103" t="s">
        <v>23</v>
      </c>
      <c r="F103">
        <v>62</v>
      </c>
      <c r="G103">
        <v>223</v>
      </c>
      <c r="H103">
        <v>3.6</v>
      </c>
      <c r="I103">
        <v>4.2</v>
      </c>
      <c r="J103">
        <v>0</v>
      </c>
      <c r="K103">
        <v>2.1</v>
      </c>
      <c r="L103">
        <v>2.6</v>
      </c>
      <c r="M103">
        <v>0</v>
      </c>
      <c r="N103">
        <v>3.9</v>
      </c>
      <c r="O103">
        <v>0.6</v>
      </c>
      <c r="P103">
        <v>2.6</v>
      </c>
      <c r="Q103">
        <v>0</v>
      </c>
      <c r="R103">
        <v>1</v>
      </c>
      <c r="S103">
        <v>0</v>
      </c>
      <c r="T103">
        <v>4.8</v>
      </c>
      <c r="U103">
        <v>3.1</v>
      </c>
      <c r="V103">
        <v>1.1000000000000001</v>
      </c>
      <c r="W103">
        <v>1.2</v>
      </c>
      <c r="X103">
        <v>0</v>
      </c>
      <c r="Y103">
        <f t="shared" si="1"/>
        <v>30.800000000000004</v>
      </c>
      <c r="Z103">
        <v>2.2000000000000002</v>
      </c>
      <c r="AA103">
        <v>20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>
        <v>2025</v>
      </c>
      <c r="B104" t="s">
        <v>268</v>
      </c>
      <c r="C104" t="s">
        <v>26</v>
      </c>
      <c r="D104" t="str" cm="1">
        <f t="array" ref="D104">_xlfn.XLOOKUP(1,('26 WR'!A:A=E104)*('26 WR'!B:B=F104),'26 WR'!C:C)</f>
        <v>Jaylen Wright</v>
      </c>
      <c r="E104" t="s">
        <v>23</v>
      </c>
      <c r="F104">
        <v>63</v>
      </c>
      <c r="G104">
        <v>224</v>
      </c>
      <c r="H104">
        <v>5.2</v>
      </c>
      <c r="I104">
        <v>1.5</v>
      </c>
      <c r="J104">
        <v>7.1</v>
      </c>
      <c r="K104">
        <v>6.2</v>
      </c>
      <c r="L104">
        <v>5</v>
      </c>
      <c r="M104">
        <v>1.9</v>
      </c>
      <c r="N104">
        <v>1.8</v>
      </c>
      <c r="O104">
        <v>1.4</v>
      </c>
      <c r="P104">
        <v>2.2000000000000002</v>
      </c>
      <c r="Q104">
        <v>2.8</v>
      </c>
      <c r="R104">
        <v>4.5999999999999996</v>
      </c>
      <c r="S104">
        <v>0</v>
      </c>
      <c r="T104">
        <v>4.7</v>
      </c>
      <c r="U104">
        <v>0</v>
      </c>
      <c r="V104">
        <v>1.7</v>
      </c>
      <c r="W104">
        <v>0</v>
      </c>
      <c r="X104">
        <v>9.4</v>
      </c>
      <c r="Y104">
        <f t="shared" si="1"/>
        <v>55.5</v>
      </c>
      <c r="Z104">
        <v>3.4</v>
      </c>
      <c r="AA104">
        <v>20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2025</v>
      </c>
      <c r="B105" t="s">
        <v>269</v>
      </c>
      <c r="C105" t="s">
        <v>80</v>
      </c>
      <c r="D105" t="str" cm="1">
        <f t="array" ref="D105">_xlfn.XLOOKUP(1,('26 WR'!A:A=E105)*('26 WR'!B:B=F105),'26 WR'!C:C)</f>
        <v>Nicholas Singleton</v>
      </c>
      <c r="E105" t="s">
        <v>23</v>
      </c>
      <c r="F105">
        <v>64</v>
      </c>
      <c r="G105">
        <v>225</v>
      </c>
      <c r="H105">
        <v>2.5</v>
      </c>
      <c r="I105">
        <v>0</v>
      </c>
      <c r="J105">
        <v>13.8</v>
      </c>
      <c r="K105">
        <v>1.3</v>
      </c>
      <c r="L105">
        <v>2.8</v>
      </c>
      <c r="M105">
        <v>6.5</v>
      </c>
      <c r="N105">
        <v>6.5</v>
      </c>
      <c r="O105">
        <v>11.8</v>
      </c>
      <c r="P105">
        <v>0</v>
      </c>
      <c r="Q105">
        <v>3.9</v>
      </c>
      <c r="R105">
        <v>4.9000000000000004</v>
      </c>
      <c r="S105">
        <v>0</v>
      </c>
      <c r="T105">
        <v>5</v>
      </c>
      <c r="U105">
        <v>1.2</v>
      </c>
      <c r="V105">
        <v>1.2</v>
      </c>
      <c r="W105">
        <v>5.2</v>
      </c>
      <c r="X105">
        <v>4</v>
      </c>
      <c r="Y105">
        <f t="shared" si="1"/>
        <v>70.600000000000009</v>
      </c>
      <c r="Z105">
        <v>4.3</v>
      </c>
      <c r="AA105">
        <v>20</v>
      </c>
      <c r="AB105">
        <v>1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0.11764705882352941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2025</v>
      </c>
      <c r="B106" t="s">
        <v>274</v>
      </c>
      <c r="C106" t="s">
        <v>132</v>
      </c>
      <c r="D106" t="str" cm="1">
        <f t="array" ref="D106">_xlfn.XLOOKUP(1,('26 WR'!A:A=E106)*('26 WR'!B:B=F106),'26 WR'!C:C)</f>
        <v>Justice Hill</v>
      </c>
      <c r="E106" t="s">
        <v>23</v>
      </c>
      <c r="F106">
        <v>65</v>
      </c>
      <c r="G106">
        <v>231</v>
      </c>
      <c r="H106">
        <v>6.3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5.6</v>
      </c>
      <c r="X106">
        <v>4.0999999999999996</v>
      </c>
      <c r="Y106">
        <f t="shared" si="1"/>
        <v>15.999999999999998</v>
      </c>
      <c r="Z106">
        <v>4.0999999999999996</v>
      </c>
      <c r="AA106">
        <v>20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2025</v>
      </c>
      <c r="B107" t="s">
        <v>277</v>
      </c>
      <c r="C107" t="s">
        <v>35</v>
      </c>
      <c r="D107" t="str" cm="1">
        <f t="array" ref="D107">_xlfn.XLOOKUP(1,('26 WR'!A:A=E107)*('26 WR'!B:B=F107),'26 WR'!C:C)</f>
        <v>Ollie Gordon II</v>
      </c>
      <c r="E107" t="s">
        <v>23</v>
      </c>
      <c r="F107">
        <v>66</v>
      </c>
      <c r="G107">
        <v>234</v>
      </c>
      <c r="H107">
        <v>4</v>
      </c>
      <c r="I107">
        <v>9.9</v>
      </c>
      <c r="J107">
        <v>8.3000000000000007</v>
      </c>
      <c r="K107">
        <v>4.5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f t="shared" si="1"/>
        <v>26.700000000000003</v>
      </c>
      <c r="Z107">
        <v>6.7</v>
      </c>
      <c r="AA107">
        <v>20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2025</v>
      </c>
      <c r="B108" t="s">
        <v>279</v>
      </c>
      <c r="C108" t="s">
        <v>43</v>
      </c>
      <c r="D108" t="str" cm="1">
        <f t="array" ref="D108">_xlfn.XLOOKUP(1,('26 WR'!A:A=E108)*('26 WR'!B:B=F108),'26 WR'!C:C)</f>
        <v>Kaytron Allen</v>
      </c>
      <c r="E108" t="s">
        <v>23</v>
      </c>
      <c r="F108">
        <v>67</v>
      </c>
      <c r="G108">
        <v>235</v>
      </c>
      <c r="H108">
        <v>0.9</v>
      </c>
      <c r="I108">
        <v>1</v>
      </c>
      <c r="J108">
        <v>1.1000000000000001</v>
      </c>
      <c r="K108">
        <v>2.8</v>
      </c>
      <c r="L108">
        <v>3.4</v>
      </c>
      <c r="M108">
        <v>1</v>
      </c>
      <c r="N108">
        <v>0.2</v>
      </c>
      <c r="O108">
        <v>3.8</v>
      </c>
      <c r="P108">
        <v>7.1</v>
      </c>
      <c r="Q108">
        <v>10.3</v>
      </c>
      <c r="R108">
        <v>17.7</v>
      </c>
      <c r="S108">
        <v>4.7</v>
      </c>
      <c r="T108">
        <v>19.2</v>
      </c>
      <c r="U108">
        <v>0</v>
      </c>
      <c r="V108">
        <v>2.4</v>
      </c>
      <c r="W108">
        <v>5.6</v>
      </c>
      <c r="X108">
        <v>17</v>
      </c>
      <c r="Y108">
        <f t="shared" si="1"/>
        <v>98.2</v>
      </c>
      <c r="Z108">
        <v>6.4</v>
      </c>
      <c r="AA108">
        <v>20</v>
      </c>
      <c r="AB108">
        <v>1</v>
      </c>
      <c r="AC108">
        <v>5</v>
      </c>
      <c r="AD108">
        <v>3</v>
      </c>
      <c r="AE108">
        <v>0</v>
      </c>
      <c r="AF108">
        <v>0</v>
      </c>
      <c r="AG108">
        <v>0</v>
      </c>
      <c r="AH108">
        <v>0.29411764705882354</v>
      </c>
      <c r="AI108">
        <v>0.17647058823529413</v>
      </c>
      <c r="AJ108">
        <v>0</v>
      </c>
      <c r="AK108">
        <v>0</v>
      </c>
      <c r="AL108">
        <v>0</v>
      </c>
    </row>
    <row r="109" spans="1:38" x14ac:dyDescent="0.25">
      <c r="A109">
        <v>2025</v>
      </c>
      <c r="B109" t="s">
        <v>283</v>
      </c>
      <c r="C109" t="s">
        <v>45</v>
      </c>
      <c r="D109" t="str" cm="1">
        <f t="array" ref="D109">_xlfn.XLOOKUP(1,('26 WR'!A:A=E109)*('26 WR'!B:B=F109),'26 WR'!C:C)</f>
        <v>Ty Johnson</v>
      </c>
      <c r="E109" t="s">
        <v>23</v>
      </c>
      <c r="F109">
        <v>68</v>
      </c>
      <c r="G109">
        <v>240</v>
      </c>
      <c r="H109">
        <v>0</v>
      </c>
      <c r="I109">
        <v>0</v>
      </c>
      <c r="J109">
        <v>0</v>
      </c>
      <c r="K109">
        <v>10.1</v>
      </c>
      <c r="L109">
        <v>6.1</v>
      </c>
      <c r="M109">
        <v>0.1</v>
      </c>
      <c r="N109">
        <v>0</v>
      </c>
      <c r="O109">
        <v>0</v>
      </c>
      <c r="P109">
        <v>8.8000000000000007</v>
      </c>
      <c r="Q109">
        <v>13.4</v>
      </c>
      <c r="R109">
        <v>4</v>
      </c>
      <c r="S109">
        <v>0</v>
      </c>
      <c r="T109">
        <v>0</v>
      </c>
      <c r="U109">
        <v>0</v>
      </c>
      <c r="V109">
        <v>2.1</v>
      </c>
      <c r="W109">
        <v>3</v>
      </c>
      <c r="X109">
        <v>4</v>
      </c>
      <c r="Y109">
        <f t="shared" si="1"/>
        <v>51.6</v>
      </c>
      <c r="Z109">
        <v>4.5</v>
      </c>
      <c r="AA109">
        <v>20</v>
      </c>
      <c r="AB109">
        <v>1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0.11764705882352941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>
        <v>2025</v>
      </c>
      <c r="B110" t="s">
        <v>284</v>
      </c>
      <c r="C110" t="s">
        <v>59</v>
      </c>
      <c r="D110" t="str" cm="1">
        <f t="array" ref="D110">_xlfn.XLOOKUP(1,('26 WR'!A:A=E110)*('26 WR'!B:B=F110),'26 WR'!C:C)</f>
        <v>MarShawn Lloyd</v>
      </c>
      <c r="E110" t="s">
        <v>23</v>
      </c>
      <c r="F110">
        <v>69</v>
      </c>
      <c r="G110">
        <v>241</v>
      </c>
      <c r="H110">
        <v>1.3</v>
      </c>
      <c r="I110">
        <v>2.2999999999999998</v>
      </c>
      <c r="J110">
        <v>9.8000000000000007</v>
      </c>
      <c r="K110">
        <v>1</v>
      </c>
      <c r="L110">
        <v>0.2</v>
      </c>
      <c r="M110">
        <v>1.2</v>
      </c>
      <c r="N110">
        <v>2.2999999999999998</v>
      </c>
      <c r="O110">
        <v>13.6</v>
      </c>
      <c r="P110">
        <v>1.9</v>
      </c>
      <c r="Q110">
        <v>0.3</v>
      </c>
      <c r="R110">
        <v>10.5</v>
      </c>
      <c r="S110">
        <v>0</v>
      </c>
      <c r="T110">
        <v>1</v>
      </c>
      <c r="U110">
        <v>7.7</v>
      </c>
      <c r="V110">
        <v>0</v>
      </c>
      <c r="W110">
        <v>0.1</v>
      </c>
      <c r="X110">
        <v>0</v>
      </c>
      <c r="Y110">
        <f t="shared" si="1"/>
        <v>53.199999999999996</v>
      </c>
      <c r="Z110">
        <v>3.2</v>
      </c>
      <c r="AA110">
        <v>11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0.11764705882352941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2025</v>
      </c>
      <c r="B111" t="s">
        <v>286</v>
      </c>
      <c r="C111" t="s">
        <v>55</v>
      </c>
      <c r="D111" t="str" cm="1">
        <f t="array" ref="D111">_xlfn.XLOOKUP(1,('26 WR'!A:A=E111)*('26 WR'!B:B=F111),'26 WR'!C:C)</f>
        <v>Devin Neal</v>
      </c>
      <c r="E111" t="s">
        <v>23</v>
      </c>
      <c r="F111">
        <v>70</v>
      </c>
      <c r="G111">
        <v>243</v>
      </c>
      <c r="H111">
        <v>0</v>
      </c>
      <c r="I111">
        <v>0</v>
      </c>
      <c r="J111">
        <v>0</v>
      </c>
      <c r="K111">
        <v>0</v>
      </c>
      <c r="L111">
        <v>6.6</v>
      </c>
      <c r="M111">
        <v>2.6</v>
      </c>
      <c r="N111">
        <v>3.7</v>
      </c>
      <c r="O111">
        <v>1.8</v>
      </c>
      <c r="P111">
        <v>1.5</v>
      </c>
      <c r="Q111">
        <v>1.8</v>
      </c>
      <c r="R111">
        <v>0</v>
      </c>
      <c r="S111">
        <v>0</v>
      </c>
      <c r="T111">
        <v>0</v>
      </c>
      <c r="U111">
        <v>2.9</v>
      </c>
      <c r="V111">
        <v>9.6999999999999993</v>
      </c>
      <c r="W111">
        <v>0.6</v>
      </c>
      <c r="X111">
        <v>1.4</v>
      </c>
      <c r="Y111">
        <f t="shared" si="1"/>
        <v>32.6</v>
      </c>
      <c r="Z111">
        <v>2.8</v>
      </c>
      <c r="AA111">
        <v>20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2025</v>
      </c>
      <c r="B112" t="s">
        <v>289</v>
      </c>
      <c r="C112" t="s">
        <v>33</v>
      </c>
      <c r="D112" t="str" cm="1">
        <f t="array" ref="D112">_xlfn.XLOOKUP(1,('26 WR'!A:A=E112)*('26 WR'!B:B=F112),'26 WR'!C:C)</f>
        <v>Jaydon Blue</v>
      </c>
      <c r="E112" t="s">
        <v>23</v>
      </c>
      <c r="F112">
        <v>71</v>
      </c>
      <c r="G112">
        <v>245</v>
      </c>
      <c r="H112">
        <v>1.2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10.4</v>
      </c>
      <c r="P112">
        <v>0</v>
      </c>
      <c r="Q112">
        <v>0.7</v>
      </c>
      <c r="R112">
        <v>3.4</v>
      </c>
      <c r="S112">
        <v>0.8</v>
      </c>
      <c r="T112">
        <v>0</v>
      </c>
      <c r="U112">
        <v>0.4</v>
      </c>
      <c r="V112">
        <v>5.7</v>
      </c>
      <c r="W112">
        <v>9.6999999999999993</v>
      </c>
      <c r="X112">
        <v>1.9</v>
      </c>
      <c r="Y112">
        <f t="shared" si="1"/>
        <v>36.199999999999996</v>
      </c>
      <c r="Z112">
        <v>3.4</v>
      </c>
      <c r="AA112">
        <v>12</v>
      </c>
      <c r="AB112">
        <v>1</v>
      </c>
      <c r="AC112">
        <v>2</v>
      </c>
      <c r="AD112">
        <v>1</v>
      </c>
      <c r="AE112">
        <v>0</v>
      </c>
      <c r="AF112">
        <v>0</v>
      </c>
      <c r="AG112">
        <v>0</v>
      </c>
      <c r="AH112">
        <v>0.11764705882352941</v>
      </c>
      <c r="AI112">
        <v>6.25E-2</v>
      </c>
      <c r="AJ112">
        <v>0</v>
      </c>
      <c r="AK112">
        <v>0</v>
      </c>
      <c r="AL112">
        <v>0</v>
      </c>
    </row>
    <row r="113" spans="1:38" x14ac:dyDescent="0.25">
      <c r="A113">
        <v>2025</v>
      </c>
      <c r="B113" t="s">
        <v>290</v>
      </c>
      <c r="C113" t="s">
        <v>78</v>
      </c>
      <c r="D113" t="str" cm="1">
        <f t="array" ref="D113">_xlfn.XLOOKUP(1,('26 WR'!A:A=E113)*('26 WR'!B:B=F113),'26 WR'!C:C)</f>
        <v>DJ Giddens</v>
      </c>
      <c r="E113" t="s">
        <v>23</v>
      </c>
      <c r="F113">
        <v>72</v>
      </c>
      <c r="G113">
        <v>247</v>
      </c>
      <c r="H113">
        <v>0.3</v>
      </c>
      <c r="I113">
        <v>9.8000000000000007</v>
      </c>
      <c r="J113">
        <v>0.8</v>
      </c>
      <c r="K113">
        <v>8.6999999999999993</v>
      </c>
      <c r="L113">
        <v>3.6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f t="shared" si="1"/>
        <v>23.200000000000003</v>
      </c>
      <c r="Z113">
        <v>4.5999999999999996</v>
      </c>
      <c r="AA113">
        <v>20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2025</v>
      </c>
      <c r="B114" t="s">
        <v>291</v>
      </c>
      <c r="C114" t="s">
        <v>96</v>
      </c>
      <c r="D114" t="str" cm="1">
        <f t="array" ref="D114">_xlfn.XLOOKUP(1,('26 WR'!A:A=E114)*('26 WR'!B:B=F114),'26 WR'!C:C)</f>
        <v>Chris Brooks</v>
      </c>
      <c r="E114" t="s">
        <v>23</v>
      </c>
      <c r="F114">
        <v>73</v>
      </c>
      <c r="G114">
        <v>248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1.1000000000000001</v>
      </c>
      <c r="V114">
        <v>8</v>
      </c>
      <c r="W114">
        <v>6.6</v>
      </c>
      <c r="X114">
        <v>16.8</v>
      </c>
      <c r="Y114">
        <f t="shared" si="1"/>
        <v>32.5</v>
      </c>
      <c r="Z114">
        <v>6.9</v>
      </c>
      <c r="AA114">
        <v>20</v>
      </c>
      <c r="AB114">
        <v>1</v>
      </c>
      <c r="AC114">
        <v>2</v>
      </c>
      <c r="AD114">
        <v>2</v>
      </c>
      <c r="AE114">
        <v>0</v>
      </c>
      <c r="AF114">
        <v>0</v>
      </c>
      <c r="AG114">
        <v>0</v>
      </c>
      <c r="AH114">
        <v>0.11764705882352941</v>
      </c>
      <c r="AI114">
        <v>0.2857142857142857</v>
      </c>
      <c r="AJ114">
        <v>0</v>
      </c>
      <c r="AK114">
        <v>0</v>
      </c>
      <c r="AL114">
        <v>0</v>
      </c>
    </row>
    <row r="115" spans="1:38" x14ac:dyDescent="0.25">
      <c r="A115">
        <v>2025</v>
      </c>
      <c r="B115" t="s">
        <v>293</v>
      </c>
      <c r="C115" t="s">
        <v>29</v>
      </c>
      <c r="D115" t="str" cm="1">
        <f t="array" ref="D115">_xlfn.XLOOKUP(1,('26 WR'!A:A=E115)*('26 WR'!B:B=F115),'26 WR'!C:C)</f>
        <v>Isaiah Davis</v>
      </c>
      <c r="E115" t="s">
        <v>23</v>
      </c>
      <c r="F115">
        <v>74</v>
      </c>
      <c r="G115">
        <v>250</v>
      </c>
      <c r="H115">
        <v>0.8</v>
      </c>
      <c r="I115">
        <v>3.3</v>
      </c>
      <c r="J115">
        <v>3.3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0.2</v>
      </c>
      <c r="Y115">
        <f t="shared" si="1"/>
        <v>7.6</v>
      </c>
      <c r="Z115">
        <v>1.9</v>
      </c>
      <c r="AA115">
        <v>20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2025</v>
      </c>
      <c r="B116" t="s">
        <v>298</v>
      </c>
      <c r="C116" t="s">
        <v>132</v>
      </c>
      <c r="D116" t="str" cm="1">
        <f t="array" ref="D116">_xlfn.XLOOKUP(1,('26 WR'!A:A=E116)*('26 WR'!B:B=F116),'26 WR'!C:C)</f>
        <v>Seth McGowan</v>
      </c>
      <c r="E116" t="s">
        <v>23</v>
      </c>
      <c r="F116">
        <v>75</v>
      </c>
      <c r="G116">
        <v>255</v>
      </c>
      <c r="H116">
        <v>0</v>
      </c>
      <c r="I116">
        <v>10.1</v>
      </c>
      <c r="J116">
        <v>16.5</v>
      </c>
      <c r="K116">
        <v>21.5</v>
      </c>
      <c r="L116">
        <v>13.8</v>
      </c>
      <c r="M116">
        <v>3.6</v>
      </c>
      <c r="N116">
        <v>26.4</v>
      </c>
      <c r="O116">
        <v>4.7</v>
      </c>
      <c r="P116">
        <v>0</v>
      </c>
      <c r="Q116">
        <v>10.5</v>
      </c>
      <c r="R116">
        <v>5.9</v>
      </c>
      <c r="S116">
        <v>16.7</v>
      </c>
      <c r="T116">
        <v>15.9</v>
      </c>
      <c r="U116">
        <v>9.4</v>
      </c>
      <c r="V116">
        <v>4.7</v>
      </c>
      <c r="W116">
        <v>10.1</v>
      </c>
      <c r="X116">
        <v>0</v>
      </c>
      <c r="Y116">
        <f t="shared" si="1"/>
        <v>169.8</v>
      </c>
      <c r="Z116">
        <v>12.1</v>
      </c>
      <c r="AA116">
        <v>12</v>
      </c>
      <c r="AB116">
        <v>1</v>
      </c>
      <c r="AC116">
        <v>9</v>
      </c>
      <c r="AD116">
        <v>5</v>
      </c>
      <c r="AE116">
        <v>2</v>
      </c>
      <c r="AF116">
        <v>1</v>
      </c>
      <c r="AG116">
        <v>0</v>
      </c>
      <c r="AH116">
        <v>0.52941176470588236</v>
      </c>
      <c r="AI116">
        <v>0.35714285714285715</v>
      </c>
      <c r="AJ116">
        <v>0.14285714285714285</v>
      </c>
      <c r="AK116">
        <v>7.1428571428571425E-2</v>
      </c>
      <c r="AL116">
        <v>0</v>
      </c>
    </row>
    <row r="117" spans="1:38" x14ac:dyDescent="0.25">
      <c r="A117">
        <v>2025</v>
      </c>
      <c r="B117" t="s">
        <v>302</v>
      </c>
      <c r="C117" t="s">
        <v>108</v>
      </c>
      <c r="D117" t="str" cm="1">
        <f t="array" ref="D117">_xlfn.XLOOKUP(1,('26 WR'!A:A=E117)*('26 WR'!B:B=F117),'26 WR'!C:C)</f>
        <v>Malik Davis</v>
      </c>
      <c r="E117" t="s">
        <v>23</v>
      </c>
      <c r="F117">
        <v>76</v>
      </c>
      <c r="G117">
        <v>260</v>
      </c>
      <c r="H117">
        <v>5.3</v>
      </c>
      <c r="I117">
        <v>6.6</v>
      </c>
      <c r="J117">
        <v>9.6</v>
      </c>
      <c r="K117">
        <v>31.4</v>
      </c>
      <c r="L117">
        <v>0</v>
      </c>
      <c r="M117">
        <v>9.6</v>
      </c>
      <c r="N117">
        <v>3.5</v>
      </c>
      <c r="O117">
        <v>3.5</v>
      </c>
      <c r="P117">
        <v>7.4</v>
      </c>
      <c r="Q117">
        <v>2.4</v>
      </c>
      <c r="R117">
        <v>29.5</v>
      </c>
      <c r="S117">
        <v>18.2</v>
      </c>
      <c r="T117">
        <v>6.5</v>
      </c>
      <c r="U117">
        <v>16.2</v>
      </c>
      <c r="V117">
        <v>19.600000000000001</v>
      </c>
      <c r="W117">
        <v>23.8</v>
      </c>
      <c r="X117">
        <v>6.8</v>
      </c>
      <c r="Y117">
        <f t="shared" si="1"/>
        <v>199.9</v>
      </c>
      <c r="Z117">
        <v>13</v>
      </c>
      <c r="AA117">
        <v>20</v>
      </c>
      <c r="AB117">
        <v>1</v>
      </c>
      <c r="AC117">
        <v>7</v>
      </c>
      <c r="AD117">
        <v>7</v>
      </c>
      <c r="AE117">
        <v>4</v>
      </c>
      <c r="AF117">
        <v>2</v>
      </c>
      <c r="AG117">
        <v>1</v>
      </c>
      <c r="AH117">
        <v>0.41176470588235292</v>
      </c>
      <c r="AI117">
        <v>0.41176470588235292</v>
      </c>
      <c r="AJ117">
        <v>0.23529411764705882</v>
      </c>
      <c r="AK117">
        <v>0.11764705882352941</v>
      </c>
      <c r="AL117">
        <v>5.8823529411764705E-2</v>
      </c>
    </row>
    <row r="118" spans="1:38" x14ac:dyDescent="0.25">
      <c r="A118">
        <v>2025</v>
      </c>
      <c r="B118" t="s">
        <v>305</v>
      </c>
      <c r="C118" t="s">
        <v>51</v>
      </c>
      <c r="D118" t="str" cm="1">
        <f t="array" ref="D118">_xlfn.XLOOKUP(1,('26 WR'!A:A=E118)*('26 WR'!B:B=F118),'26 WR'!C:C)</f>
        <v>Samaje Perine</v>
      </c>
      <c r="E118" t="s">
        <v>23</v>
      </c>
      <c r="F118">
        <v>77</v>
      </c>
      <c r="G118">
        <v>262</v>
      </c>
      <c r="H118">
        <v>2.1</v>
      </c>
      <c r="I118">
        <v>1.3</v>
      </c>
      <c r="J118">
        <v>1.9</v>
      </c>
      <c r="K118">
        <v>1.7</v>
      </c>
      <c r="L118">
        <v>0</v>
      </c>
      <c r="M118">
        <v>2.2000000000000002</v>
      </c>
      <c r="N118">
        <v>1.4</v>
      </c>
      <c r="O118">
        <v>0</v>
      </c>
      <c r="P118">
        <v>2.1</v>
      </c>
      <c r="Q118">
        <v>1.6</v>
      </c>
      <c r="R118">
        <v>3.6</v>
      </c>
      <c r="S118">
        <v>0.2</v>
      </c>
      <c r="T118">
        <v>0</v>
      </c>
      <c r="U118">
        <v>2.8</v>
      </c>
      <c r="V118">
        <v>2.6</v>
      </c>
      <c r="W118">
        <v>1</v>
      </c>
      <c r="X118">
        <v>0.3</v>
      </c>
      <c r="Y118">
        <f t="shared" si="1"/>
        <v>24.800000000000004</v>
      </c>
      <c r="Z118">
        <v>1.5</v>
      </c>
      <c r="AA118">
        <v>20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2025</v>
      </c>
      <c r="B119" t="s">
        <v>306</v>
      </c>
      <c r="C119" t="s">
        <v>78</v>
      </c>
      <c r="D119" t="str" cm="1">
        <f t="array" ref="D119">_xlfn.XLOOKUP(1,('26 WR'!A:A=E119)*('26 WR'!B:B=F119),'26 WR'!C:C)</f>
        <v>Trey Benson</v>
      </c>
      <c r="E119" t="s">
        <v>23</v>
      </c>
      <c r="F119">
        <v>78</v>
      </c>
      <c r="G119">
        <v>263</v>
      </c>
      <c r="H119">
        <v>4.7</v>
      </c>
      <c r="I119">
        <v>21.2</v>
      </c>
      <c r="J119">
        <v>4.5999999999999996</v>
      </c>
      <c r="K119">
        <v>5.0999999999999996</v>
      </c>
      <c r="L119">
        <v>14.7</v>
      </c>
      <c r="M119">
        <v>1.8</v>
      </c>
      <c r="N119">
        <v>16.8</v>
      </c>
      <c r="O119">
        <v>5.9</v>
      </c>
      <c r="P119">
        <v>0</v>
      </c>
      <c r="Q119">
        <v>0</v>
      </c>
      <c r="R119">
        <v>0</v>
      </c>
      <c r="S119">
        <v>2</v>
      </c>
      <c r="T119">
        <v>11</v>
      </c>
      <c r="U119">
        <v>0</v>
      </c>
      <c r="V119">
        <v>10.7</v>
      </c>
      <c r="W119">
        <v>17.8</v>
      </c>
      <c r="X119">
        <v>27.2</v>
      </c>
      <c r="Y119">
        <f t="shared" si="1"/>
        <v>143.5</v>
      </c>
      <c r="Z119">
        <v>12.8</v>
      </c>
      <c r="AA119">
        <v>12</v>
      </c>
      <c r="AB119">
        <v>1</v>
      </c>
      <c r="AC119">
        <v>8</v>
      </c>
      <c r="AD119">
        <v>5</v>
      </c>
      <c r="AE119">
        <v>3</v>
      </c>
      <c r="AF119">
        <v>2</v>
      </c>
      <c r="AG119">
        <v>1</v>
      </c>
      <c r="AH119">
        <v>0.47058823529411764</v>
      </c>
      <c r="AI119">
        <v>0.35714285714285715</v>
      </c>
      <c r="AJ119">
        <v>0.21428571428571427</v>
      </c>
      <c r="AK119">
        <v>0.14285714285714285</v>
      </c>
      <c r="AL119">
        <v>7.1428571428571425E-2</v>
      </c>
    </row>
    <row r="120" spans="1:38" x14ac:dyDescent="0.25">
      <c r="A120">
        <v>2025</v>
      </c>
      <c r="B120" t="s">
        <v>311</v>
      </c>
      <c r="C120" t="s">
        <v>65</v>
      </c>
      <c r="D120" t="str" cm="1">
        <f t="array" ref="D120">_xlfn.XLOOKUP(1,('26 WR'!A:A=E120)*('26 WR'!B:B=F120),'26 WR'!C:C)</f>
        <v>Demond Claiborne</v>
      </c>
      <c r="E120" t="s">
        <v>23</v>
      </c>
      <c r="F120">
        <v>79</v>
      </c>
      <c r="G120">
        <v>268</v>
      </c>
      <c r="H120">
        <v>0</v>
      </c>
      <c r="I120">
        <v>0</v>
      </c>
      <c r="J120">
        <v>0</v>
      </c>
      <c r="K120">
        <v>0</v>
      </c>
      <c r="L120">
        <v>2.5</v>
      </c>
      <c r="M120">
        <v>3.3</v>
      </c>
      <c r="N120">
        <v>2.5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1.4</v>
      </c>
      <c r="X120">
        <v>0</v>
      </c>
      <c r="Y120">
        <f t="shared" si="1"/>
        <v>9.7000000000000011</v>
      </c>
      <c r="Z120">
        <v>0.8</v>
      </c>
      <c r="AA120">
        <v>20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2025</v>
      </c>
      <c r="B121" t="s">
        <v>313</v>
      </c>
      <c r="C121" t="s">
        <v>65</v>
      </c>
      <c r="D121" t="str" cm="1">
        <f t="array" ref="D121">_xlfn.XLOOKUP(1,('26 WR'!A:A=E121)*('26 WR'!B:B=F121),'26 WR'!C:C)</f>
        <v>LeQuint Allen Jr.</v>
      </c>
      <c r="E121" t="s">
        <v>23</v>
      </c>
      <c r="F121">
        <v>80</v>
      </c>
      <c r="G121">
        <v>269</v>
      </c>
      <c r="H121">
        <v>0</v>
      </c>
      <c r="I121">
        <v>0</v>
      </c>
      <c r="J121">
        <v>0</v>
      </c>
      <c r="K121">
        <v>0</v>
      </c>
      <c r="L121">
        <v>2.9</v>
      </c>
      <c r="M121">
        <v>22.8</v>
      </c>
      <c r="N121">
        <v>7.5</v>
      </c>
      <c r="O121">
        <v>19.7</v>
      </c>
      <c r="P121">
        <v>3</v>
      </c>
      <c r="Q121">
        <v>17.8</v>
      </c>
      <c r="R121">
        <v>3.2</v>
      </c>
      <c r="S121">
        <v>0</v>
      </c>
      <c r="T121">
        <v>20.7</v>
      </c>
      <c r="U121">
        <v>11.4</v>
      </c>
      <c r="V121">
        <v>5.8</v>
      </c>
      <c r="W121">
        <v>1.1000000000000001</v>
      </c>
      <c r="X121">
        <v>0</v>
      </c>
      <c r="Y121">
        <f t="shared" si="1"/>
        <v>115.9</v>
      </c>
      <c r="Z121">
        <v>9.1</v>
      </c>
      <c r="AA121">
        <v>20</v>
      </c>
      <c r="AB121">
        <v>1</v>
      </c>
      <c r="AC121">
        <v>5</v>
      </c>
      <c r="AD121">
        <v>4</v>
      </c>
      <c r="AE121">
        <v>2</v>
      </c>
      <c r="AF121">
        <v>0</v>
      </c>
      <c r="AG121">
        <v>0</v>
      </c>
      <c r="AH121">
        <v>0.29411764705882354</v>
      </c>
      <c r="AI121">
        <v>0.30769230769230771</v>
      </c>
      <c r="AJ121">
        <v>0.15384615384615385</v>
      </c>
      <c r="AK121">
        <v>0</v>
      </c>
      <c r="AL121">
        <v>0</v>
      </c>
    </row>
    <row r="122" spans="1:38" x14ac:dyDescent="0.25">
      <c r="A122">
        <v>2025</v>
      </c>
      <c r="B122" t="s">
        <v>314</v>
      </c>
      <c r="C122" t="s">
        <v>35</v>
      </c>
      <c r="D122" t="str" cm="1">
        <f t="array" ref="D122">_xlfn.XLOOKUP(1,('26 WR'!A:A=E122)*('26 WR'!B:B=F122),'26 WR'!C:C)</f>
        <v>Kaleb Johnson</v>
      </c>
      <c r="E122" t="s">
        <v>23</v>
      </c>
      <c r="F122">
        <v>81</v>
      </c>
      <c r="G122">
        <v>270</v>
      </c>
      <c r="H122">
        <v>0</v>
      </c>
      <c r="I122">
        <v>0</v>
      </c>
      <c r="J122">
        <v>0</v>
      </c>
      <c r="K122">
        <v>0</v>
      </c>
      <c r="L122">
        <v>0.7</v>
      </c>
      <c r="M122">
        <v>0</v>
      </c>
      <c r="N122">
        <v>4.4000000000000004</v>
      </c>
      <c r="O122">
        <v>2.9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f t="shared" si="1"/>
        <v>8</v>
      </c>
      <c r="Z122">
        <v>4.0999999999999996</v>
      </c>
      <c r="AA122">
        <v>20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5.8823529411764705E-2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2025</v>
      </c>
      <c r="B123" t="s">
        <v>316</v>
      </c>
      <c r="C123" t="s">
        <v>45</v>
      </c>
      <c r="D123" t="str" cm="1">
        <f t="array" ref="D123">_xlfn.XLOOKUP(1,('26 WR'!A:A=E123)*('26 WR'!B:B=F123),'26 WR'!C:C)</f>
        <v>Jordan James</v>
      </c>
      <c r="E123" t="s">
        <v>23</v>
      </c>
      <c r="F123">
        <v>82</v>
      </c>
      <c r="G123">
        <v>272</v>
      </c>
      <c r="H123">
        <v>8.5</v>
      </c>
      <c r="I123">
        <v>8.4</v>
      </c>
      <c r="J123">
        <v>8.1</v>
      </c>
      <c r="K123">
        <v>10.4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f t="shared" si="1"/>
        <v>35.4</v>
      </c>
      <c r="Z123">
        <v>7.1</v>
      </c>
      <c r="AA123">
        <v>20</v>
      </c>
      <c r="AB123">
        <v>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5.8823529411764705E-2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2025</v>
      </c>
      <c r="B124" t="s">
        <v>318</v>
      </c>
      <c r="C124" t="s">
        <v>51</v>
      </c>
      <c r="D124" t="str" cm="1">
        <f t="array" ref="D124">_xlfn.XLOOKUP(1,('26 WR'!A:A=E124)*('26 WR'!B:B=F124),'26 WR'!C:C)</f>
        <v>George Holani</v>
      </c>
      <c r="E124" t="s">
        <v>23</v>
      </c>
      <c r="F124">
        <v>83</v>
      </c>
      <c r="G124">
        <v>274</v>
      </c>
      <c r="H124">
        <v>1.1000000000000001</v>
      </c>
      <c r="I124">
        <v>15.4</v>
      </c>
      <c r="J124">
        <v>8.1</v>
      </c>
      <c r="K124">
        <v>3.2</v>
      </c>
      <c r="L124">
        <v>2.1</v>
      </c>
      <c r="M124">
        <v>4.8</v>
      </c>
      <c r="N124">
        <v>2.2000000000000002</v>
      </c>
      <c r="O124">
        <v>0</v>
      </c>
      <c r="P124">
        <v>9.6</v>
      </c>
      <c r="Q124">
        <v>2</v>
      </c>
      <c r="R124">
        <v>13.4</v>
      </c>
      <c r="S124">
        <v>1.7</v>
      </c>
      <c r="T124">
        <v>8.9</v>
      </c>
      <c r="U124">
        <v>1.5</v>
      </c>
      <c r="V124">
        <v>9.3000000000000007</v>
      </c>
      <c r="W124">
        <v>0</v>
      </c>
      <c r="X124">
        <v>0</v>
      </c>
      <c r="Y124">
        <f t="shared" si="1"/>
        <v>83.300000000000011</v>
      </c>
      <c r="Z124">
        <v>5.9</v>
      </c>
      <c r="AA124">
        <v>12</v>
      </c>
      <c r="AB124">
        <v>1</v>
      </c>
      <c r="AC124">
        <v>2</v>
      </c>
      <c r="AD124">
        <v>1</v>
      </c>
      <c r="AE124">
        <v>0</v>
      </c>
      <c r="AF124">
        <v>0</v>
      </c>
      <c r="AG124">
        <v>0</v>
      </c>
      <c r="AH124">
        <v>0.11764705882352941</v>
      </c>
      <c r="AI124">
        <v>6.6666666666666666E-2</v>
      </c>
      <c r="AJ124">
        <v>0</v>
      </c>
      <c r="AK124">
        <v>0</v>
      </c>
      <c r="AL124">
        <v>0</v>
      </c>
    </row>
    <row r="125" spans="1:38" x14ac:dyDescent="0.25">
      <c r="A125">
        <v>2025</v>
      </c>
      <c r="B125" t="s">
        <v>320</v>
      </c>
      <c r="C125" t="s">
        <v>45</v>
      </c>
      <c r="D125" t="str" cm="1">
        <f t="array" ref="D125">_xlfn.XLOOKUP(1,('26 WR'!A:A=E125)*('26 WR'!B:B=F125),'26 WR'!C:C)</f>
        <v>Brashard Smith</v>
      </c>
      <c r="E125" t="s">
        <v>23</v>
      </c>
      <c r="F125">
        <v>84</v>
      </c>
      <c r="G125">
        <v>277</v>
      </c>
      <c r="H125">
        <v>0</v>
      </c>
      <c r="I125">
        <v>0</v>
      </c>
      <c r="J125">
        <v>0</v>
      </c>
      <c r="K125">
        <v>0.1</v>
      </c>
      <c r="L125">
        <v>18.3</v>
      </c>
      <c r="M125">
        <v>8.4</v>
      </c>
      <c r="N125">
        <v>5.6</v>
      </c>
      <c r="O125">
        <v>0</v>
      </c>
      <c r="P125">
        <v>0</v>
      </c>
      <c r="Q125">
        <v>0.4</v>
      </c>
      <c r="R125">
        <v>7.8</v>
      </c>
      <c r="S125">
        <v>8.8000000000000007</v>
      </c>
      <c r="T125">
        <v>11.4</v>
      </c>
      <c r="U125">
        <v>5.0999999999999996</v>
      </c>
      <c r="V125">
        <v>13.4</v>
      </c>
      <c r="W125">
        <v>6.5</v>
      </c>
      <c r="X125">
        <v>6.3</v>
      </c>
      <c r="Y125">
        <f t="shared" si="1"/>
        <v>92.100000000000009</v>
      </c>
      <c r="Z125">
        <v>7.6</v>
      </c>
      <c r="AA125">
        <v>20</v>
      </c>
      <c r="AB125">
        <v>1</v>
      </c>
      <c r="AC125">
        <v>3</v>
      </c>
      <c r="AD125">
        <v>1</v>
      </c>
      <c r="AE125">
        <v>0</v>
      </c>
      <c r="AF125">
        <v>0</v>
      </c>
      <c r="AG125">
        <v>0</v>
      </c>
      <c r="AH125">
        <v>0.17647058823529413</v>
      </c>
      <c r="AI125">
        <v>7.6923076923076927E-2</v>
      </c>
      <c r="AJ125">
        <v>0</v>
      </c>
      <c r="AK125">
        <v>0</v>
      </c>
      <c r="AL125">
        <v>0</v>
      </c>
    </row>
    <row r="126" spans="1:38" x14ac:dyDescent="0.25">
      <c r="A126">
        <v>2025</v>
      </c>
      <c r="B126" t="s">
        <v>321</v>
      </c>
      <c r="C126" t="s">
        <v>41</v>
      </c>
      <c r="D126" t="str" cm="1">
        <f t="array" ref="D126">_xlfn.XLOOKUP(1,('26 WR'!A:A=E126)*('26 WR'!B:B=F126),'26 WR'!C:C)</f>
        <v>Devin Singletary</v>
      </c>
      <c r="E126" t="s">
        <v>23</v>
      </c>
      <c r="F126">
        <v>85</v>
      </c>
      <c r="G126">
        <v>278</v>
      </c>
      <c r="H126">
        <v>0.5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2.5</v>
      </c>
      <c r="S126">
        <v>0</v>
      </c>
      <c r="T126">
        <v>1.7</v>
      </c>
      <c r="U126">
        <v>3.3</v>
      </c>
      <c r="V126">
        <v>11.2</v>
      </c>
      <c r="W126">
        <v>2.2000000000000002</v>
      </c>
      <c r="X126">
        <v>2.8</v>
      </c>
      <c r="Y126">
        <f t="shared" si="1"/>
        <v>24.2</v>
      </c>
      <c r="Z126">
        <v>1.6</v>
      </c>
      <c r="AA126">
        <v>20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5.8823529411764705E-2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2025</v>
      </c>
      <c r="B127" t="s">
        <v>322</v>
      </c>
      <c r="C127" t="s">
        <v>45</v>
      </c>
      <c r="D127" t="str" cm="1">
        <f t="array" ref="D127">_xlfn.XLOOKUP(1,('26 WR'!A:A=E127)*('26 WR'!B:B=F127),'26 WR'!C:C)</f>
        <v>Jerome Ford</v>
      </c>
      <c r="E127" t="s">
        <v>23</v>
      </c>
      <c r="F127">
        <v>86</v>
      </c>
      <c r="G127">
        <v>279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1.1000000000000001</v>
      </c>
      <c r="W127">
        <v>3.2</v>
      </c>
      <c r="X127">
        <v>0.2</v>
      </c>
      <c r="Y127">
        <f t="shared" si="1"/>
        <v>4.5000000000000009</v>
      </c>
      <c r="Z127">
        <v>2.2999999999999998</v>
      </c>
      <c r="AA127">
        <v>20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2025</v>
      </c>
      <c r="B128" t="s">
        <v>323</v>
      </c>
      <c r="C128" t="s">
        <v>96</v>
      </c>
      <c r="D128" t="str" cm="1">
        <f t="array" ref="D128">_xlfn.XLOOKUP(1,('26 WR'!A:A=E128)*('26 WR'!B:B=F128),'26 WR'!C:C)</f>
        <v>Jaleel McLaughlin</v>
      </c>
      <c r="E128" t="s">
        <v>23</v>
      </c>
      <c r="F128">
        <v>87</v>
      </c>
      <c r="G128">
        <v>280</v>
      </c>
      <c r="H128">
        <v>0.9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</v>
      </c>
      <c r="O128">
        <v>4.0999999999999996</v>
      </c>
      <c r="P128">
        <v>2.2000000000000002</v>
      </c>
      <c r="Q128">
        <v>6.1</v>
      </c>
      <c r="R128">
        <v>0</v>
      </c>
      <c r="S128">
        <v>11.1</v>
      </c>
      <c r="T128">
        <v>9.9</v>
      </c>
      <c r="U128">
        <v>15.4</v>
      </c>
      <c r="V128">
        <v>10.199999999999999</v>
      </c>
      <c r="W128">
        <v>0</v>
      </c>
      <c r="X128">
        <v>0</v>
      </c>
      <c r="Y128">
        <f t="shared" si="1"/>
        <v>60</v>
      </c>
      <c r="Z128">
        <v>6.7</v>
      </c>
      <c r="AA128">
        <v>20</v>
      </c>
      <c r="AB128">
        <v>1</v>
      </c>
      <c r="AC128">
        <v>3</v>
      </c>
      <c r="AD128">
        <v>1</v>
      </c>
      <c r="AE128">
        <v>0</v>
      </c>
      <c r="AF128">
        <v>0</v>
      </c>
      <c r="AG128">
        <v>0</v>
      </c>
      <c r="AH128">
        <v>0.17647058823529413</v>
      </c>
      <c r="AI128">
        <v>0.1111111111111111</v>
      </c>
      <c r="AJ128">
        <v>0</v>
      </c>
      <c r="AK128">
        <v>0</v>
      </c>
      <c r="AL128">
        <v>0</v>
      </c>
    </row>
    <row r="129" spans="1:38" x14ac:dyDescent="0.25">
      <c r="A129">
        <v>2025</v>
      </c>
      <c r="B129" t="s">
        <v>325</v>
      </c>
      <c r="C129" t="s">
        <v>61</v>
      </c>
      <c r="D129" t="str" cm="1">
        <f t="array" ref="D129">_xlfn.XLOOKUP(1,('26 WR'!A:A=E129)*('26 WR'!B:B=F129),'26 WR'!C:C)</f>
        <v>Kendre Miller</v>
      </c>
      <c r="E129" t="s">
        <v>23</v>
      </c>
      <c r="F129">
        <v>88</v>
      </c>
      <c r="G129">
        <v>281</v>
      </c>
      <c r="H129">
        <v>0.4</v>
      </c>
      <c r="I129">
        <v>0</v>
      </c>
      <c r="J129">
        <v>2.5</v>
      </c>
      <c r="K129">
        <v>11.1</v>
      </c>
      <c r="L129">
        <v>0</v>
      </c>
      <c r="M129">
        <v>1.7</v>
      </c>
      <c r="N129">
        <v>2.5</v>
      </c>
      <c r="O129">
        <v>11.7</v>
      </c>
      <c r="P129">
        <v>2.7</v>
      </c>
      <c r="Q129">
        <v>1.4</v>
      </c>
      <c r="R129">
        <v>13.9</v>
      </c>
      <c r="S129">
        <v>26.5</v>
      </c>
      <c r="T129">
        <v>1.4</v>
      </c>
      <c r="U129">
        <v>1</v>
      </c>
      <c r="V129">
        <v>0.3</v>
      </c>
      <c r="W129">
        <v>8.1999999999999993</v>
      </c>
      <c r="X129">
        <v>3.4</v>
      </c>
      <c r="Y129">
        <f t="shared" si="1"/>
        <v>88.700000000000017</v>
      </c>
      <c r="Z129">
        <v>5.6</v>
      </c>
      <c r="AA129">
        <v>20</v>
      </c>
      <c r="AB129">
        <v>1</v>
      </c>
      <c r="AC129">
        <v>4</v>
      </c>
      <c r="AD129">
        <v>1</v>
      </c>
      <c r="AE129">
        <v>1</v>
      </c>
      <c r="AF129">
        <v>1</v>
      </c>
      <c r="AG129">
        <v>0</v>
      </c>
      <c r="AH129">
        <v>0.23529411764705882</v>
      </c>
      <c r="AI129">
        <v>5.8823529411764705E-2</v>
      </c>
      <c r="AJ129">
        <v>5.8823529411764705E-2</v>
      </c>
      <c r="AK129">
        <v>5.8823529411764705E-2</v>
      </c>
      <c r="AL129">
        <v>0</v>
      </c>
    </row>
    <row r="130" spans="1:38" x14ac:dyDescent="0.25">
      <c r="A130">
        <v>2025</v>
      </c>
      <c r="B130" t="s">
        <v>330</v>
      </c>
      <c r="C130" t="s">
        <v>90</v>
      </c>
      <c r="D130" t="str" cm="1">
        <f t="array" ref="D130">_xlfn.XLOOKUP(1,('26 WR'!A:A=E130)*('26 WR'!B:B=F130),'26 WR'!C:C)</f>
        <v>Emari Demercado</v>
      </c>
      <c r="E130" t="s">
        <v>23</v>
      </c>
      <c r="F130">
        <v>89</v>
      </c>
      <c r="G130">
        <v>285</v>
      </c>
      <c r="H130">
        <v>1.8</v>
      </c>
      <c r="I130">
        <v>1.6</v>
      </c>
      <c r="J130">
        <v>0</v>
      </c>
      <c r="K130">
        <v>4.7</v>
      </c>
      <c r="L130">
        <v>6.3</v>
      </c>
      <c r="M130">
        <v>1.1000000000000001</v>
      </c>
      <c r="N130">
        <v>5.2</v>
      </c>
      <c r="O130">
        <v>17.899999999999999</v>
      </c>
      <c r="P130">
        <v>0</v>
      </c>
      <c r="Q130">
        <v>2.1</v>
      </c>
      <c r="R130">
        <v>1.1000000000000001</v>
      </c>
      <c r="S130">
        <v>0.7</v>
      </c>
      <c r="T130">
        <v>0</v>
      </c>
      <c r="U130">
        <v>2.2000000000000002</v>
      </c>
      <c r="V130">
        <v>13.5</v>
      </c>
      <c r="W130">
        <v>10</v>
      </c>
      <c r="X130">
        <v>3</v>
      </c>
      <c r="Y130">
        <f t="shared" ref="Y130:Y193" si="2">SUM(H130:X130)</f>
        <v>71.200000000000017</v>
      </c>
      <c r="Z130">
        <v>4.5</v>
      </c>
      <c r="AA130">
        <v>20</v>
      </c>
      <c r="AB130">
        <v>1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0.11764705882352941</v>
      </c>
      <c r="AI130">
        <v>6.25E-2</v>
      </c>
      <c r="AJ130">
        <v>0</v>
      </c>
      <c r="AK130">
        <v>0</v>
      </c>
      <c r="AL130">
        <v>0</v>
      </c>
    </row>
    <row r="131" spans="1:38" x14ac:dyDescent="0.25">
      <c r="A131">
        <v>2025</v>
      </c>
      <c r="B131" t="s">
        <v>332</v>
      </c>
      <c r="C131" t="s">
        <v>61</v>
      </c>
      <c r="D131" t="str" cm="1">
        <f t="array" ref="D131">_xlfn.XLOOKUP(1,('26 WR'!A:A=E131)*('26 WR'!B:B=F131),'26 WR'!C:C)</f>
        <v>Najee Harris</v>
      </c>
      <c r="E131" t="s">
        <v>23</v>
      </c>
      <c r="F131">
        <v>90</v>
      </c>
      <c r="G131">
        <v>286</v>
      </c>
      <c r="H131">
        <v>1.3</v>
      </c>
      <c r="I131">
        <v>5.7</v>
      </c>
      <c r="J131">
        <v>0</v>
      </c>
      <c r="K131">
        <v>1.1000000000000001</v>
      </c>
      <c r="L131">
        <v>0</v>
      </c>
      <c r="M131">
        <v>0.1</v>
      </c>
      <c r="N131">
        <v>0</v>
      </c>
      <c r="O131">
        <v>0</v>
      </c>
      <c r="P131">
        <v>4.4000000000000004</v>
      </c>
      <c r="Q131">
        <v>0</v>
      </c>
      <c r="R131">
        <v>0.8</v>
      </c>
      <c r="S131">
        <v>3.6</v>
      </c>
      <c r="T131">
        <v>2.9</v>
      </c>
      <c r="U131">
        <v>1.6</v>
      </c>
      <c r="V131">
        <v>2.6</v>
      </c>
      <c r="W131">
        <v>0.4</v>
      </c>
      <c r="X131">
        <v>2.1</v>
      </c>
      <c r="Y131">
        <f t="shared" si="2"/>
        <v>26.6</v>
      </c>
      <c r="Z131">
        <v>1.9</v>
      </c>
      <c r="AA131">
        <v>20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2025</v>
      </c>
      <c r="B132" t="s">
        <v>334</v>
      </c>
      <c r="C132" t="s">
        <v>68</v>
      </c>
      <c r="D132" t="str" cm="1">
        <f t="array" ref="D132">_xlfn.XLOOKUP(1,('26 WR'!A:A=E132)*('26 WR'!B:B=F132),'26 WR'!C:C)</f>
        <v>Trevor Etienne</v>
      </c>
      <c r="E132" t="s">
        <v>23</v>
      </c>
      <c r="F132">
        <v>91</v>
      </c>
      <c r="G132">
        <v>287</v>
      </c>
      <c r="H132">
        <v>2.4</v>
      </c>
      <c r="I132">
        <v>0.6</v>
      </c>
      <c r="J132">
        <v>3.1</v>
      </c>
      <c r="K132">
        <v>0</v>
      </c>
      <c r="L132">
        <v>1</v>
      </c>
      <c r="M132">
        <v>2.6</v>
      </c>
      <c r="N132">
        <v>0</v>
      </c>
      <c r="O132">
        <v>0.6</v>
      </c>
      <c r="P132">
        <v>10</v>
      </c>
      <c r="Q132">
        <v>4.5999999999999996</v>
      </c>
      <c r="R132">
        <v>15</v>
      </c>
      <c r="S132">
        <v>8.1999999999999993</v>
      </c>
      <c r="T132">
        <v>5.5</v>
      </c>
      <c r="U132">
        <v>5.9</v>
      </c>
      <c r="V132">
        <v>5.8</v>
      </c>
      <c r="W132">
        <v>7.6</v>
      </c>
      <c r="X132">
        <v>7.8</v>
      </c>
      <c r="Y132">
        <f t="shared" si="2"/>
        <v>80.699999999999989</v>
      </c>
      <c r="Z132">
        <v>5.9</v>
      </c>
      <c r="AA132">
        <v>20</v>
      </c>
      <c r="AB132">
        <v>1</v>
      </c>
      <c r="AC132">
        <v>2</v>
      </c>
      <c r="AD132">
        <v>1</v>
      </c>
      <c r="AE132">
        <v>0</v>
      </c>
      <c r="AF132">
        <v>0</v>
      </c>
      <c r="AG132">
        <v>0</v>
      </c>
      <c r="AH132">
        <v>0.11764705882352941</v>
      </c>
      <c r="AI132">
        <v>5.8823529411764705E-2</v>
      </c>
      <c r="AJ132">
        <v>0</v>
      </c>
      <c r="AK132">
        <v>0</v>
      </c>
      <c r="AL132">
        <v>0</v>
      </c>
    </row>
    <row r="133" spans="1:38" x14ac:dyDescent="0.25">
      <c r="A133">
        <v>2025</v>
      </c>
      <c r="B133" t="s">
        <v>335</v>
      </c>
      <c r="C133" t="s">
        <v>74</v>
      </c>
      <c r="D133" t="str" cm="1">
        <f t="array" ref="D133">_xlfn.XLOOKUP(1,('26 WR'!A:A=E133)*('26 WR'!B:B=F133),'26 WR'!C:C)</f>
        <v>Kaelon Black</v>
      </c>
      <c r="E133" t="s">
        <v>23</v>
      </c>
      <c r="F133">
        <v>92</v>
      </c>
      <c r="G133">
        <v>288</v>
      </c>
      <c r="H133">
        <v>0</v>
      </c>
      <c r="I133">
        <v>6</v>
      </c>
      <c r="J133">
        <v>4.2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0.9</v>
      </c>
      <c r="Q133">
        <v>9.1</v>
      </c>
      <c r="R133">
        <v>0.6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f t="shared" si="2"/>
        <v>20.8</v>
      </c>
      <c r="Z133">
        <v>2.1</v>
      </c>
      <c r="AA133">
        <v>20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2025</v>
      </c>
      <c r="B134" t="s">
        <v>339</v>
      </c>
      <c r="C134" t="s">
        <v>92</v>
      </c>
      <c r="D134" t="str" cm="1">
        <f t="array" ref="D134">_xlfn.XLOOKUP(1,('26 WR'!A:A=E134)*('26 WR'!B:B=F134),'26 WR'!C:C)</f>
        <v>Adam Randall</v>
      </c>
      <c r="E134" t="s">
        <v>23</v>
      </c>
      <c r="F134">
        <v>93</v>
      </c>
      <c r="G134">
        <v>289</v>
      </c>
      <c r="H134">
        <v>0.4</v>
      </c>
      <c r="I134">
        <v>1.2</v>
      </c>
      <c r="J134">
        <v>2</v>
      </c>
      <c r="K134">
        <v>3.3</v>
      </c>
      <c r="L134">
        <v>3.9</v>
      </c>
      <c r="M134">
        <v>1.7</v>
      </c>
      <c r="N134">
        <v>0</v>
      </c>
      <c r="O134">
        <v>1.6</v>
      </c>
      <c r="P134">
        <v>0</v>
      </c>
      <c r="Q134">
        <v>0</v>
      </c>
      <c r="R134">
        <v>0.2</v>
      </c>
      <c r="S134">
        <v>0</v>
      </c>
      <c r="T134">
        <v>1.4</v>
      </c>
      <c r="U134">
        <v>0</v>
      </c>
      <c r="V134">
        <v>0</v>
      </c>
      <c r="W134">
        <v>0</v>
      </c>
      <c r="X134">
        <v>0</v>
      </c>
      <c r="Y134">
        <f t="shared" si="2"/>
        <v>15.7</v>
      </c>
      <c r="Z134">
        <v>0.7</v>
      </c>
      <c r="AA134">
        <v>20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2025</v>
      </c>
      <c r="B135" t="s">
        <v>341</v>
      </c>
      <c r="C135" t="s">
        <v>21</v>
      </c>
      <c r="D135" t="str" cm="1">
        <f t="array" ref="D135">_xlfn.XLOOKUP(1,('26 WR'!A:A=E135)*('26 WR'!B:B=F135),'26 WR'!C:C)</f>
        <v>Tahj Brooks</v>
      </c>
      <c r="E135" t="s">
        <v>23</v>
      </c>
      <c r="F135">
        <v>94</v>
      </c>
      <c r="G135">
        <v>292</v>
      </c>
      <c r="H135">
        <v>2.6</v>
      </c>
      <c r="I135">
        <v>0</v>
      </c>
      <c r="J135">
        <v>0.1</v>
      </c>
      <c r="K135">
        <v>0.4</v>
      </c>
      <c r="L135">
        <v>4.9000000000000004</v>
      </c>
      <c r="M135">
        <v>5.2</v>
      </c>
      <c r="N135">
        <v>3.1</v>
      </c>
      <c r="O135">
        <v>17</v>
      </c>
      <c r="P135">
        <v>0.5</v>
      </c>
      <c r="Q135">
        <v>0</v>
      </c>
      <c r="R135">
        <v>0</v>
      </c>
      <c r="S135">
        <v>0</v>
      </c>
      <c r="T135">
        <v>5.4</v>
      </c>
      <c r="U135">
        <v>4.8</v>
      </c>
      <c r="V135">
        <v>5.3</v>
      </c>
      <c r="W135">
        <v>12.1</v>
      </c>
      <c r="X135">
        <v>8.3000000000000007</v>
      </c>
      <c r="Y135">
        <f t="shared" si="2"/>
        <v>69.699999999999989</v>
      </c>
      <c r="Z135">
        <v>5.2</v>
      </c>
      <c r="AA135">
        <v>20</v>
      </c>
      <c r="AB135">
        <v>1</v>
      </c>
      <c r="AC135">
        <v>2</v>
      </c>
      <c r="AD135">
        <v>1</v>
      </c>
      <c r="AE135">
        <v>0</v>
      </c>
      <c r="AF135">
        <v>0</v>
      </c>
      <c r="AG135">
        <v>0</v>
      </c>
      <c r="AH135">
        <v>0.11764705882352941</v>
      </c>
      <c r="AI135">
        <v>6.6666666666666666E-2</v>
      </c>
      <c r="AJ135">
        <v>0</v>
      </c>
      <c r="AK135">
        <v>0</v>
      </c>
      <c r="AL135">
        <v>0</v>
      </c>
    </row>
    <row r="136" spans="1:38" x14ac:dyDescent="0.25">
      <c r="A136">
        <v>2025</v>
      </c>
      <c r="B136" t="s">
        <v>350</v>
      </c>
      <c r="C136" t="s">
        <v>35</v>
      </c>
      <c r="D136" t="str" cm="1">
        <f t="array" ref="D136">_xlfn.XLOOKUP(1,('26 WR'!A:A=E136)*('26 WR'!B:B=F136),'26 WR'!C:C)</f>
        <v>Isaac Guerendo</v>
      </c>
      <c r="E136" t="s">
        <v>23</v>
      </c>
      <c r="F136">
        <v>95</v>
      </c>
      <c r="G136">
        <v>298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f t="shared" si="2"/>
        <v>0</v>
      </c>
      <c r="Z136">
        <v>10.9</v>
      </c>
      <c r="AA136">
        <v>20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5.8823529411764705E-2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2025</v>
      </c>
      <c r="B137" t="s">
        <v>27</v>
      </c>
      <c r="C137" t="s">
        <v>29</v>
      </c>
      <c r="D137" t="str" cm="1">
        <f t="array" ref="D137">_xlfn.XLOOKUP(1,('26 WR'!A:A=E137)*('26 WR'!B:B=F137),'26 WR'!C:C)</f>
        <v>Trey McBride</v>
      </c>
      <c r="E137" t="s">
        <v>28</v>
      </c>
      <c r="F137">
        <v>1</v>
      </c>
      <c r="G137">
        <v>6</v>
      </c>
      <c r="H137">
        <f>_xlfn.XLOOKUP($B137,'[1]FFPC TE'!$A$2:$A$46,'[1]FFPC TE'!B$2:B$46,,0)</f>
        <v>17.8</v>
      </c>
      <c r="I137">
        <f>_xlfn.XLOOKUP($B137,'[1]FFPC TE'!$A$2:$A$46,'[1]FFPC TE'!C$2:C$46,,0)</f>
        <v>11.3</v>
      </c>
      <c r="J137">
        <f>_xlfn.XLOOKUP($B137,'[1]FFPC TE'!$A$2:$A$46,'[1]FFPC TE'!D$2:D$46,,0)</f>
        <v>9.8000000000000007</v>
      </c>
      <c r="K137">
        <f>_xlfn.XLOOKUP($B137,'[1]FFPC TE'!$A$2:$A$46,'[1]FFPC TE'!E$2:E$46,,0)</f>
        <v>12.100000000000001</v>
      </c>
      <c r="L137">
        <f>_xlfn.XLOOKUP($B137,'[1]FFPC TE'!$A$2:$A$46,'[1]FFPC TE'!F$2:F$46,,0)</f>
        <v>0</v>
      </c>
      <c r="M137">
        <f>_xlfn.XLOOKUP($B137,'[1]FFPC TE'!$A$2:$A$46,'[1]FFPC TE'!G$2:G$46,,0)</f>
        <v>0</v>
      </c>
      <c r="N137">
        <f>_xlfn.XLOOKUP($B137,'[1]FFPC TE'!$A$2:$A$46,'[1]FFPC TE'!H$2:H$46,,0)</f>
        <v>0</v>
      </c>
      <c r="O137">
        <f>_xlfn.XLOOKUP($B137,'[1]FFPC TE'!$A$2:$A$46,'[1]FFPC TE'!I$2:I$46,,0)</f>
        <v>0</v>
      </c>
      <c r="P137">
        <f>_xlfn.XLOOKUP($B137,'[1]FFPC TE'!$A$2:$A$46,'[1]FFPC TE'!J$2:J$46,,0)</f>
        <v>48.7</v>
      </c>
      <c r="Q137">
        <f>_xlfn.XLOOKUP($B137,'[1]FFPC TE'!$A$2:$A$46,'[1]FFPC TE'!K$2:K$46,,0)</f>
        <v>4.5999999999999996</v>
      </c>
      <c r="R137">
        <f>_xlfn.XLOOKUP($B137,'[1]FFPC TE'!$A$2:$A$46,'[1]FFPC TE'!L$2:L$46,,0)</f>
        <v>17.7</v>
      </c>
      <c r="S137">
        <f>_xlfn.XLOOKUP($B137,'[1]FFPC TE'!$A$2:$A$46,'[1]FFPC TE'!M$2:M$46,,0)</f>
        <v>14.5</v>
      </c>
      <c r="T137">
        <f>_xlfn.XLOOKUP($B137,'[1]FFPC TE'!$A$2:$A$46,'[1]FFPC TE'!N$2:N$46,,0)</f>
        <v>24.3</v>
      </c>
      <c r="U137">
        <f>_xlfn.XLOOKUP($B137,'[1]FFPC TE'!$A$2:$A$46,'[1]FFPC TE'!O$2:O$46,,0)</f>
        <v>16.600000000000001</v>
      </c>
      <c r="V137">
        <f>_xlfn.XLOOKUP($B137,'[1]FFPC TE'!$A$2:$A$46,'[1]FFPC TE'!P$2:P$46,,0)</f>
        <v>11.8</v>
      </c>
      <c r="W137">
        <f>_xlfn.XLOOKUP($B137,'[1]FFPC TE'!$A$2:$A$46,'[1]FFPC TE'!Q$2:Q$46,,0)</f>
        <v>16.8</v>
      </c>
      <c r="X137">
        <f>_xlfn.XLOOKUP($B137,'[1]FFPC TE'!$A$2:$A$46,'[1]FFPC TE'!R$2:R$46,,0)</f>
        <v>0</v>
      </c>
      <c r="Y137">
        <f t="shared" si="2"/>
        <v>206.00000000000003</v>
      </c>
      <c r="Z137">
        <v>14.7</v>
      </c>
      <c r="AA137">
        <v>2</v>
      </c>
      <c r="AB137">
        <v>1</v>
      </c>
      <c r="AC137">
        <v>7</v>
      </c>
      <c r="AD137">
        <v>3</v>
      </c>
      <c r="AE137">
        <v>2</v>
      </c>
      <c r="AF137">
        <v>1</v>
      </c>
      <c r="AG137">
        <v>1</v>
      </c>
      <c r="AH137">
        <v>0.41176470588235292</v>
      </c>
      <c r="AI137">
        <v>0.25</v>
      </c>
      <c r="AJ137">
        <v>0.16666666666666666</v>
      </c>
      <c r="AK137">
        <v>8.3333333333333329E-2</v>
      </c>
      <c r="AL137">
        <v>8.3333333333333329E-2</v>
      </c>
    </row>
    <row r="138" spans="1:38" x14ac:dyDescent="0.25">
      <c r="A138">
        <v>2025</v>
      </c>
      <c r="B138" t="s">
        <v>44</v>
      </c>
      <c r="C138" t="s">
        <v>45</v>
      </c>
      <c r="D138" t="str" cm="1">
        <f t="array" ref="D138">_xlfn.XLOOKUP(1,('26 WR'!A:A=E138)*('26 WR'!B:B=F138),'26 WR'!C:C)</f>
        <v>Brock Bowers</v>
      </c>
      <c r="E138" t="s">
        <v>28</v>
      </c>
      <c r="F138">
        <v>2</v>
      </c>
      <c r="G138">
        <v>17</v>
      </c>
      <c r="H138">
        <f>_xlfn.XLOOKUP($B138,'[1]FFPC TE'!$A$2:$A$46,'[1]FFPC TE'!B$2:B$46,,0)</f>
        <v>15.100000000000001</v>
      </c>
      <c r="I138">
        <f>_xlfn.XLOOKUP($B138,'[1]FFPC TE'!$A$2:$A$46,'[1]FFPC TE'!C$2:C$46,,0)</f>
        <v>16.8</v>
      </c>
      <c r="J138">
        <f>_xlfn.XLOOKUP($B138,'[1]FFPC TE'!$A$2:$A$46,'[1]FFPC TE'!D$2:D$46,,0)</f>
        <v>17.8</v>
      </c>
      <c r="K138">
        <f>_xlfn.XLOOKUP($B138,'[1]FFPC TE'!$A$2:$A$46,'[1]FFPC TE'!E$2:E$46,,0)</f>
        <v>15.7</v>
      </c>
      <c r="L138">
        <f>_xlfn.XLOOKUP($B138,'[1]FFPC TE'!$A$2:$A$46,'[1]FFPC TE'!F$2:F$46,,0)</f>
        <v>11.600000000000001</v>
      </c>
      <c r="M138">
        <f>_xlfn.XLOOKUP($B138,'[1]FFPC TE'!$A$2:$A$46,'[1]FFPC TE'!G$2:G$46,,0)</f>
        <v>25.2</v>
      </c>
      <c r="N138">
        <f>_xlfn.XLOOKUP($B138,'[1]FFPC TE'!$A$2:$A$46,'[1]FFPC TE'!H$2:H$46,,0)</f>
        <v>34.4</v>
      </c>
      <c r="O138">
        <f>_xlfn.XLOOKUP($B138,'[1]FFPC TE'!$A$2:$A$46,'[1]FFPC TE'!I$2:I$46,,0)</f>
        <v>0</v>
      </c>
      <c r="P138">
        <f>_xlfn.XLOOKUP($B138,'[1]FFPC TE'!$A$2:$A$46,'[1]FFPC TE'!J$2:J$46,,0)</f>
        <v>19</v>
      </c>
      <c r="Q138">
        <f>_xlfn.XLOOKUP($B138,'[1]FFPC TE'!$A$2:$A$46,'[1]FFPC TE'!K$2:K$46,,0)</f>
        <v>32.200000000000003</v>
      </c>
      <c r="R138">
        <f>_xlfn.XLOOKUP($B138,'[1]FFPC TE'!$A$2:$A$46,'[1]FFPC TE'!L$2:L$46,,0)</f>
        <v>32.5</v>
      </c>
      <c r="S138">
        <f>_xlfn.XLOOKUP($B138,'[1]FFPC TE'!$A$2:$A$46,'[1]FFPC TE'!M$2:M$46,,0)</f>
        <v>21.4</v>
      </c>
      <c r="T138">
        <f>_xlfn.XLOOKUP($B138,'[1]FFPC TE'!$A$2:$A$46,'[1]FFPC TE'!N$2:N$46,,0)</f>
        <v>26.200000000000003</v>
      </c>
      <c r="U138">
        <f>_xlfn.XLOOKUP($B138,'[1]FFPC TE'!$A$2:$A$46,'[1]FFPC TE'!O$2:O$46,,0)</f>
        <v>13.3</v>
      </c>
      <c r="V138">
        <f>_xlfn.XLOOKUP($B138,'[1]FFPC TE'!$A$2:$A$46,'[1]FFPC TE'!P$2:P$46,,0)</f>
        <v>43.4</v>
      </c>
      <c r="W138">
        <f>_xlfn.XLOOKUP($B138,'[1]FFPC TE'!$A$2:$A$46,'[1]FFPC TE'!Q$2:Q$46,,0)</f>
        <v>8.6999999999999993</v>
      </c>
      <c r="X138">
        <f>_xlfn.XLOOKUP($B138,'[1]FFPC TE'!$A$2:$A$46,'[1]FFPC TE'!R$2:R$46,,0)</f>
        <v>28.6</v>
      </c>
      <c r="Y138">
        <f t="shared" si="2"/>
        <v>361.90000000000003</v>
      </c>
      <c r="Z138">
        <v>18.600000000000001</v>
      </c>
      <c r="AA138">
        <v>3</v>
      </c>
      <c r="AB138">
        <v>1</v>
      </c>
      <c r="AC138">
        <v>15</v>
      </c>
      <c r="AD138">
        <v>10</v>
      </c>
      <c r="AE138">
        <v>7</v>
      </c>
      <c r="AF138">
        <v>4</v>
      </c>
      <c r="AG138">
        <v>1</v>
      </c>
      <c r="AH138">
        <v>0.88235294117647056</v>
      </c>
      <c r="AI138">
        <v>0.58823529411764708</v>
      </c>
      <c r="AJ138">
        <v>0.41176470588235292</v>
      </c>
      <c r="AK138">
        <v>0.23529411764705882</v>
      </c>
      <c r="AL138">
        <v>5.8823529411764705E-2</v>
      </c>
    </row>
    <row r="139" spans="1:38" x14ac:dyDescent="0.25">
      <c r="A139">
        <v>2025</v>
      </c>
      <c r="B139" t="s">
        <v>63</v>
      </c>
      <c r="C139" t="s">
        <v>26</v>
      </c>
      <c r="D139" t="str" cm="1">
        <f t="array" ref="D139">_xlfn.XLOOKUP(1,('26 WR'!A:A=E139)*('26 WR'!B:B=F139),'26 WR'!C:C)</f>
        <v>Colston Loveland</v>
      </c>
      <c r="E139" t="s">
        <v>28</v>
      </c>
      <c r="F139">
        <v>3</v>
      </c>
      <c r="G139">
        <v>31</v>
      </c>
      <c r="H139">
        <f>_xlfn.XLOOKUP($B139,'[1]FFPC TE'!$A$2:$A$46,'[1]FFPC TE'!B$2:B$46,,0)</f>
        <v>14.5</v>
      </c>
      <c r="I139">
        <f>_xlfn.XLOOKUP($B139,'[1]FFPC TE'!$A$2:$A$46,'[1]FFPC TE'!C$2:C$46,,0)</f>
        <v>0</v>
      </c>
      <c r="J139">
        <f>_xlfn.XLOOKUP($B139,'[1]FFPC TE'!$A$2:$A$46,'[1]FFPC TE'!D$2:D$46,,0)</f>
        <v>0</v>
      </c>
      <c r="K139">
        <f>_xlfn.XLOOKUP($B139,'[1]FFPC TE'!$A$2:$A$46,'[1]FFPC TE'!E$2:E$46,,0)</f>
        <v>0</v>
      </c>
      <c r="L139">
        <f>_xlfn.XLOOKUP($B139,'[1]FFPC TE'!$A$2:$A$46,'[1]FFPC TE'!F$2:F$46,,0)</f>
        <v>0</v>
      </c>
      <c r="M139">
        <f>_xlfn.XLOOKUP($B139,'[1]FFPC TE'!$A$2:$A$46,'[1]FFPC TE'!G$2:G$46,,0)</f>
        <v>0</v>
      </c>
      <c r="N139">
        <f>_xlfn.XLOOKUP($B139,'[1]FFPC TE'!$A$2:$A$46,'[1]FFPC TE'!H$2:H$46,,0)</f>
        <v>0</v>
      </c>
      <c r="O139">
        <f>_xlfn.XLOOKUP($B139,'[1]FFPC TE'!$A$2:$A$46,'[1]FFPC TE'!I$2:I$46,,0)</f>
        <v>16.3</v>
      </c>
      <c r="P139">
        <f>_xlfn.XLOOKUP($B139,'[1]FFPC TE'!$A$2:$A$46,'[1]FFPC TE'!J$2:J$46,,0)</f>
        <v>9.1999999999999993</v>
      </c>
      <c r="Q139">
        <f>_xlfn.XLOOKUP($B139,'[1]FFPC TE'!$A$2:$A$46,'[1]FFPC TE'!K$2:K$46,,0)</f>
        <v>27.9</v>
      </c>
      <c r="R139">
        <f>_xlfn.XLOOKUP($B139,'[1]FFPC TE'!$A$2:$A$46,'[1]FFPC TE'!L$2:L$46,,0)</f>
        <v>27.7</v>
      </c>
      <c r="S139">
        <f>_xlfn.XLOOKUP($B139,'[1]FFPC TE'!$A$2:$A$46,'[1]FFPC TE'!M$2:M$46,,0)</f>
        <v>16.8</v>
      </c>
      <c r="T139">
        <f>_xlfn.XLOOKUP($B139,'[1]FFPC TE'!$A$2:$A$46,'[1]FFPC TE'!N$2:N$46,,0)</f>
        <v>12.7</v>
      </c>
      <c r="U139">
        <f>_xlfn.XLOOKUP($B139,'[1]FFPC TE'!$A$2:$A$46,'[1]FFPC TE'!O$2:O$46,,0)</f>
        <v>0</v>
      </c>
      <c r="V139">
        <f>_xlfn.XLOOKUP($B139,'[1]FFPC TE'!$A$2:$A$46,'[1]FFPC TE'!P$2:P$46,,0)</f>
        <v>26.8</v>
      </c>
      <c r="W139">
        <f>_xlfn.XLOOKUP($B139,'[1]FFPC TE'!$A$2:$A$46,'[1]FFPC TE'!Q$2:Q$46,,0)</f>
        <v>28</v>
      </c>
      <c r="X139">
        <f>_xlfn.XLOOKUP($B139,'[1]FFPC TE'!$A$2:$A$46,'[1]FFPC TE'!R$2:R$46,,0)</f>
        <v>0</v>
      </c>
      <c r="Y139">
        <f t="shared" si="2"/>
        <v>179.9</v>
      </c>
      <c r="Z139">
        <v>14.7</v>
      </c>
      <c r="AA139">
        <v>3</v>
      </c>
      <c r="AB139">
        <v>1</v>
      </c>
      <c r="AC139">
        <v>8</v>
      </c>
      <c r="AD139">
        <v>4</v>
      </c>
      <c r="AE139">
        <v>4</v>
      </c>
      <c r="AF139">
        <v>0</v>
      </c>
      <c r="AG139">
        <v>0</v>
      </c>
      <c r="AH139">
        <v>0.47058823529411764</v>
      </c>
      <c r="AI139">
        <v>0.36363636363636365</v>
      </c>
      <c r="AJ139">
        <v>0.36363636363636365</v>
      </c>
      <c r="AK139">
        <v>0</v>
      </c>
      <c r="AL139">
        <v>0</v>
      </c>
    </row>
    <row r="140" spans="1:38" x14ac:dyDescent="0.25">
      <c r="A140">
        <v>2025</v>
      </c>
      <c r="B140" t="s">
        <v>94</v>
      </c>
      <c r="C140" t="s">
        <v>37</v>
      </c>
      <c r="D140" t="str" cm="1">
        <f t="array" ref="D140">_xlfn.XLOOKUP(1,('26 WR'!A:A=E140)*('26 WR'!B:B=F140),'26 WR'!C:C)</f>
        <v>Tyler Warren</v>
      </c>
      <c r="E140" t="s">
        <v>28</v>
      </c>
      <c r="F140">
        <v>4</v>
      </c>
      <c r="G140">
        <v>55</v>
      </c>
      <c r="H140">
        <f>_xlfn.XLOOKUP($B140,'[1]FFPC TE'!$A$2:$A$46,'[1]FFPC TE'!B$2:B$46,,0)</f>
        <v>16.899999999999999</v>
      </c>
      <c r="I140">
        <f>_xlfn.XLOOKUP($B140,'[1]FFPC TE'!$A$2:$A$46,'[1]FFPC TE'!C$2:C$46,,0)</f>
        <v>7.1</v>
      </c>
      <c r="J140">
        <f>_xlfn.XLOOKUP($B140,'[1]FFPC TE'!$A$2:$A$46,'[1]FFPC TE'!D$2:D$46,,0)</f>
        <v>9.3000000000000007</v>
      </c>
      <c r="K140">
        <f>_xlfn.XLOOKUP($B140,'[1]FFPC TE'!$A$2:$A$46,'[1]FFPC TE'!E$2:E$46,,0)</f>
        <v>8.4</v>
      </c>
      <c r="L140">
        <f>_xlfn.XLOOKUP($B140,'[1]FFPC TE'!$A$2:$A$46,'[1]FFPC TE'!F$2:F$46,,0)</f>
        <v>22.700000000000003</v>
      </c>
      <c r="M140">
        <f>_xlfn.XLOOKUP($B140,'[1]FFPC TE'!$A$2:$A$46,'[1]FFPC TE'!G$2:G$46,,0)</f>
        <v>19</v>
      </c>
      <c r="N140">
        <f>_xlfn.XLOOKUP($B140,'[1]FFPC TE'!$A$2:$A$46,'[1]FFPC TE'!H$2:H$46,,0)</f>
        <v>6</v>
      </c>
      <c r="O140">
        <f>_xlfn.XLOOKUP($B140,'[1]FFPC TE'!$A$2:$A$46,'[1]FFPC TE'!I$2:I$46,,0)</f>
        <v>0</v>
      </c>
      <c r="P140">
        <f>_xlfn.XLOOKUP($B140,'[1]FFPC TE'!$A$2:$A$46,'[1]FFPC TE'!J$2:J$46,,0)</f>
        <v>24.700000000000003</v>
      </c>
      <c r="Q140">
        <f>_xlfn.XLOOKUP($B140,'[1]FFPC TE'!$A$2:$A$46,'[1]FFPC TE'!K$2:K$46,,0)</f>
        <v>12.8</v>
      </c>
      <c r="R140">
        <f>_xlfn.XLOOKUP($B140,'[1]FFPC TE'!$A$2:$A$46,'[1]FFPC TE'!L$2:L$46,,0)</f>
        <v>0</v>
      </c>
      <c r="S140">
        <f>_xlfn.XLOOKUP($B140,'[1]FFPC TE'!$A$2:$A$46,'[1]FFPC TE'!M$2:M$46,,0)</f>
        <v>0</v>
      </c>
      <c r="T140">
        <f>_xlfn.XLOOKUP($B140,'[1]FFPC TE'!$A$2:$A$46,'[1]FFPC TE'!N$2:N$46,,0)</f>
        <v>0</v>
      </c>
      <c r="U140">
        <f>_xlfn.XLOOKUP($B140,'[1]FFPC TE'!$A$2:$A$46,'[1]FFPC TE'!O$2:O$46,,0)</f>
        <v>0</v>
      </c>
      <c r="V140">
        <f>_xlfn.XLOOKUP($B140,'[1]FFPC TE'!$A$2:$A$46,'[1]FFPC TE'!P$2:P$46,,0)</f>
        <v>0</v>
      </c>
      <c r="W140">
        <f>_xlfn.XLOOKUP($B140,'[1]FFPC TE'!$A$2:$A$46,'[1]FFPC TE'!Q$2:Q$46,,0)</f>
        <v>0</v>
      </c>
      <c r="X140">
        <f>_xlfn.XLOOKUP($B140,'[1]FFPC TE'!$A$2:$A$46,'[1]FFPC TE'!R$2:R$46,,0)</f>
        <v>0</v>
      </c>
      <c r="Y140">
        <f t="shared" si="2"/>
        <v>126.9</v>
      </c>
      <c r="Z140">
        <v>11.9</v>
      </c>
      <c r="AA140">
        <v>6</v>
      </c>
      <c r="AB140">
        <v>1</v>
      </c>
      <c r="AC140">
        <v>5</v>
      </c>
      <c r="AD140">
        <v>3</v>
      </c>
      <c r="AE140">
        <v>2</v>
      </c>
      <c r="AF140">
        <v>0</v>
      </c>
      <c r="AG140">
        <v>0</v>
      </c>
      <c r="AH140">
        <v>0.29411764705882354</v>
      </c>
      <c r="AI140">
        <v>0.33333333333333331</v>
      </c>
      <c r="AJ140">
        <v>0.22222222222222221</v>
      </c>
      <c r="AK140">
        <v>0</v>
      </c>
      <c r="AL140">
        <v>0</v>
      </c>
    </row>
    <row r="141" spans="1:38" x14ac:dyDescent="0.25">
      <c r="A141">
        <v>2025</v>
      </c>
      <c r="B141" t="s">
        <v>100</v>
      </c>
      <c r="C141" t="s">
        <v>85</v>
      </c>
      <c r="D141" t="str" cm="1">
        <f t="array" ref="D141">_xlfn.XLOOKUP(1,('26 WR'!A:A=E141)*('26 WR'!B:B=F141),'26 WR'!C:C)</f>
        <v>Harold Fannin Jr.</v>
      </c>
      <c r="E141" t="s">
        <v>28</v>
      </c>
      <c r="F141">
        <v>5</v>
      </c>
      <c r="G141">
        <v>60</v>
      </c>
      <c r="H141">
        <f>_xlfn.XLOOKUP($B141,'[1]FFPC TE'!$A$2:$A$46,'[1]FFPC TE'!B$2:B$46,,0)</f>
        <v>13.7</v>
      </c>
      <c r="I141">
        <f>_xlfn.XLOOKUP($B141,'[1]FFPC TE'!$A$2:$A$46,'[1]FFPC TE'!C$2:C$46,,0)</f>
        <v>12.100000000000001</v>
      </c>
      <c r="J141">
        <f>_xlfn.XLOOKUP($B141,'[1]FFPC TE'!$A$2:$A$46,'[1]FFPC TE'!D$2:D$46,,0)</f>
        <v>8.6</v>
      </c>
      <c r="K141">
        <f>_xlfn.XLOOKUP($B141,'[1]FFPC TE'!$A$2:$A$46,'[1]FFPC TE'!E$2:E$46,,0)</f>
        <v>12.3</v>
      </c>
      <c r="L141">
        <f>_xlfn.XLOOKUP($B141,'[1]FFPC TE'!$A$2:$A$46,'[1]FFPC TE'!F$2:F$46,,0)</f>
        <v>22.6</v>
      </c>
      <c r="M141">
        <f>_xlfn.XLOOKUP($B141,'[1]FFPC TE'!$A$2:$A$46,'[1]FFPC TE'!G$2:G$46,,0)</f>
        <v>16.8</v>
      </c>
      <c r="N141">
        <f>_xlfn.XLOOKUP($B141,'[1]FFPC TE'!$A$2:$A$46,'[1]FFPC TE'!H$2:H$46,,0)</f>
        <v>9.9</v>
      </c>
      <c r="O141">
        <f>_xlfn.XLOOKUP($B141,'[1]FFPC TE'!$A$2:$A$46,'[1]FFPC TE'!I$2:I$46,,0)</f>
        <v>24.9</v>
      </c>
      <c r="P141">
        <f>_xlfn.XLOOKUP($B141,'[1]FFPC TE'!$A$2:$A$46,'[1]FFPC TE'!J$2:J$46,,0)</f>
        <v>12.600000000000001</v>
      </c>
      <c r="Q141">
        <f>_xlfn.XLOOKUP($B141,'[1]FFPC TE'!$A$2:$A$46,'[1]FFPC TE'!K$2:K$46,,0)</f>
        <v>0</v>
      </c>
      <c r="R141">
        <f>_xlfn.XLOOKUP($B141,'[1]FFPC TE'!$A$2:$A$46,'[1]FFPC TE'!L$2:L$46,,0)</f>
        <v>28.6</v>
      </c>
      <c r="S141">
        <f>_xlfn.XLOOKUP($B141,'[1]FFPC TE'!$A$2:$A$46,'[1]FFPC TE'!M$2:M$46,,0)</f>
        <v>10.3</v>
      </c>
      <c r="T141">
        <f>_xlfn.XLOOKUP($B141,'[1]FFPC TE'!$A$2:$A$46,'[1]FFPC TE'!N$2:N$46,,0)</f>
        <v>18</v>
      </c>
      <c r="U141">
        <f>_xlfn.XLOOKUP($B141,'[1]FFPC TE'!$A$2:$A$46,'[1]FFPC TE'!O$2:O$46,,0)</f>
        <v>2.2999999999999998</v>
      </c>
      <c r="V141">
        <f>_xlfn.XLOOKUP($B141,'[1]FFPC TE'!$A$2:$A$46,'[1]FFPC TE'!P$2:P$46,,0)</f>
        <v>17.5</v>
      </c>
      <c r="W141">
        <f>_xlfn.XLOOKUP($B141,'[1]FFPC TE'!$A$2:$A$46,'[1]FFPC TE'!Q$2:Q$46,,0)</f>
        <v>2.1</v>
      </c>
      <c r="X141">
        <f>_xlfn.XLOOKUP($B141,'[1]FFPC TE'!$A$2:$A$46,'[1]FFPC TE'!R$2:R$46,,0)</f>
        <v>11.1</v>
      </c>
      <c r="Y141">
        <f t="shared" si="2"/>
        <v>223.4</v>
      </c>
      <c r="Z141">
        <v>11.4</v>
      </c>
      <c r="AA141">
        <v>7</v>
      </c>
      <c r="AB141">
        <v>1</v>
      </c>
      <c r="AC141">
        <v>9</v>
      </c>
      <c r="AD141">
        <v>4</v>
      </c>
      <c r="AE141">
        <v>2</v>
      </c>
      <c r="AF141">
        <v>0</v>
      </c>
      <c r="AG141">
        <v>0</v>
      </c>
      <c r="AH141">
        <v>0.52941176470588236</v>
      </c>
      <c r="AI141">
        <v>0.23529411764705882</v>
      </c>
      <c r="AJ141">
        <v>0.11764705882352941</v>
      </c>
      <c r="AK141">
        <v>0</v>
      </c>
      <c r="AL141">
        <v>0</v>
      </c>
    </row>
    <row r="142" spans="1:38" x14ac:dyDescent="0.25">
      <c r="A142">
        <v>2025</v>
      </c>
      <c r="B142" t="s">
        <v>103</v>
      </c>
      <c r="C142" t="s">
        <v>55</v>
      </c>
      <c r="D142" t="str" cm="1">
        <f t="array" ref="D142">_xlfn.XLOOKUP(1,('26 WR'!A:A=E142)*('26 WR'!B:B=F142),'26 WR'!C:C)</f>
        <v>Tucker Kraft</v>
      </c>
      <c r="E142" t="s">
        <v>28</v>
      </c>
      <c r="F142">
        <v>6</v>
      </c>
      <c r="G142">
        <v>64</v>
      </c>
      <c r="H142">
        <f>_xlfn.XLOOKUP($B142,'[1]FFPC TE'!$A$2:$A$46,'[1]FFPC TE'!B$2:B$46,,0)</f>
        <v>18.100000000000001</v>
      </c>
      <c r="I142">
        <f>_xlfn.XLOOKUP($B142,'[1]FFPC TE'!$A$2:$A$46,'[1]FFPC TE'!C$2:C$46,,0)</f>
        <v>13.9</v>
      </c>
      <c r="J142">
        <f>_xlfn.XLOOKUP($B142,'[1]FFPC TE'!$A$2:$A$46,'[1]FFPC TE'!D$2:D$46,,0)</f>
        <v>8.3000000000000007</v>
      </c>
      <c r="K142">
        <f>_xlfn.XLOOKUP($B142,'[1]FFPC TE'!$A$2:$A$46,'[1]FFPC TE'!E$2:E$46,,0)</f>
        <v>14.5</v>
      </c>
      <c r="L142">
        <f>_xlfn.XLOOKUP($B142,'[1]FFPC TE'!$A$2:$A$46,'[1]FFPC TE'!F$2:F$46,,0)</f>
        <v>16.399999999999999</v>
      </c>
      <c r="M142">
        <f>_xlfn.XLOOKUP($B142,'[1]FFPC TE'!$A$2:$A$46,'[1]FFPC TE'!G$2:G$46,,0)</f>
        <v>21.3</v>
      </c>
      <c r="N142">
        <f>_xlfn.XLOOKUP($B142,'[1]FFPC TE'!$A$2:$A$46,'[1]FFPC TE'!H$2:H$46,,0)</f>
        <v>18.899999999999999</v>
      </c>
      <c r="O142">
        <f>_xlfn.XLOOKUP($B142,'[1]FFPC TE'!$A$2:$A$46,'[1]FFPC TE'!I$2:I$46,,0)</f>
        <v>11.3</v>
      </c>
      <c r="P142">
        <f>_xlfn.XLOOKUP($B142,'[1]FFPC TE'!$A$2:$A$46,'[1]FFPC TE'!J$2:J$46,,0)</f>
        <v>10.1</v>
      </c>
      <c r="Q142">
        <f>_xlfn.XLOOKUP($B142,'[1]FFPC TE'!$A$2:$A$46,'[1]FFPC TE'!K$2:K$46,,0)</f>
        <v>21.9</v>
      </c>
      <c r="R142">
        <f>_xlfn.XLOOKUP($B142,'[1]FFPC TE'!$A$2:$A$46,'[1]FFPC TE'!L$2:L$46,,0)</f>
        <v>0</v>
      </c>
      <c r="S142">
        <f>_xlfn.XLOOKUP($B142,'[1]FFPC TE'!$A$2:$A$46,'[1]FFPC TE'!M$2:M$46,,0)</f>
        <v>12</v>
      </c>
      <c r="T142">
        <f>_xlfn.XLOOKUP($B142,'[1]FFPC TE'!$A$2:$A$46,'[1]FFPC TE'!N$2:N$46,,0)</f>
        <v>12.7</v>
      </c>
      <c r="U142">
        <f>_xlfn.XLOOKUP($B142,'[1]FFPC TE'!$A$2:$A$46,'[1]FFPC TE'!O$2:O$46,,0)</f>
        <v>4.5</v>
      </c>
      <c r="V142">
        <f>_xlfn.XLOOKUP($B142,'[1]FFPC TE'!$A$2:$A$46,'[1]FFPC TE'!P$2:P$46,,0)</f>
        <v>6.4</v>
      </c>
      <c r="W142">
        <f>_xlfn.XLOOKUP($B142,'[1]FFPC TE'!$A$2:$A$46,'[1]FFPC TE'!Q$2:Q$46,,0)</f>
        <v>7.5</v>
      </c>
      <c r="X142">
        <f>_xlfn.XLOOKUP($B142,'[1]FFPC TE'!$A$2:$A$46,'[1]FFPC TE'!R$2:R$46,,0)</f>
        <v>11.8</v>
      </c>
      <c r="Y142">
        <f t="shared" si="2"/>
        <v>209.6</v>
      </c>
      <c r="Z142">
        <v>11.1</v>
      </c>
      <c r="AA142">
        <v>7</v>
      </c>
      <c r="AB142">
        <v>1</v>
      </c>
      <c r="AC142">
        <v>8</v>
      </c>
      <c r="AD142">
        <v>4</v>
      </c>
      <c r="AE142">
        <v>0</v>
      </c>
      <c r="AF142">
        <v>0</v>
      </c>
      <c r="AG142">
        <v>0</v>
      </c>
      <c r="AH142">
        <v>0.47058823529411764</v>
      </c>
      <c r="AI142">
        <v>0.23529411764705882</v>
      </c>
      <c r="AJ142">
        <v>0</v>
      </c>
      <c r="AK142">
        <v>0</v>
      </c>
      <c r="AL142">
        <v>0</v>
      </c>
    </row>
    <row r="143" spans="1:38" x14ac:dyDescent="0.25">
      <c r="A143">
        <v>2025</v>
      </c>
      <c r="B143" t="s">
        <v>104</v>
      </c>
      <c r="C143" t="s">
        <v>31</v>
      </c>
      <c r="D143" t="str" cm="1">
        <f t="array" ref="D143">_xlfn.XLOOKUP(1,('26 WR'!A:A=E143)*('26 WR'!B:B=F143),'26 WR'!C:C)</f>
        <v>Kyle Pitts Sr.</v>
      </c>
      <c r="E143" t="s">
        <v>28</v>
      </c>
      <c r="F143">
        <v>7</v>
      </c>
      <c r="G143">
        <v>65</v>
      </c>
      <c r="H143">
        <f>_xlfn.XLOOKUP($B143,'[1]FFPC TE'!$A$2:$A$46,'[1]FFPC TE'!B$2:B$46,,0)</f>
        <v>6</v>
      </c>
      <c r="I143">
        <f>_xlfn.XLOOKUP($B143,'[1]FFPC TE'!$A$2:$A$46,'[1]FFPC TE'!C$2:C$46,,0)</f>
        <v>2.7</v>
      </c>
      <c r="J143">
        <f>_xlfn.XLOOKUP($B143,'[1]FFPC TE'!$A$2:$A$46,'[1]FFPC TE'!D$2:D$46,,0)</f>
        <v>18.399999999999999</v>
      </c>
      <c r="K143">
        <f>_xlfn.XLOOKUP($B143,'[1]FFPC TE'!$A$2:$A$46,'[1]FFPC TE'!E$2:E$46,,0)</f>
        <v>9.9</v>
      </c>
      <c r="L143">
        <f>_xlfn.XLOOKUP($B143,'[1]FFPC TE'!$A$2:$A$46,'[1]FFPC TE'!F$2:F$46,,0)</f>
        <v>12.8</v>
      </c>
      <c r="M143">
        <f>_xlfn.XLOOKUP($B143,'[1]FFPC TE'!$A$2:$A$46,'[1]FFPC TE'!G$2:G$46,,0)</f>
        <v>0</v>
      </c>
      <c r="N143">
        <f>_xlfn.XLOOKUP($B143,'[1]FFPC TE'!$A$2:$A$46,'[1]FFPC TE'!H$2:H$46,,0)</f>
        <v>13.3</v>
      </c>
      <c r="O143">
        <f>_xlfn.XLOOKUP($B143,'[1]FFPC TE'!$A$2:$A$46,'[1]FFPC TE'!I$2:I$46,,0)</f>
        <v>5.6</v>
      </c>
      <c r="P143">
        <f>_xlfn.XLOOKUP($B143,'[1]FFPC TE'!$A$2:$A$46,'[1]FFPC TE'!J$2:J$46,,0)</f>
        <v>10.1</v>
      </c>
      <c r="Q143">
        <f>_xlfn.XLOOKUP($B143,'[1]FFPC TE'!$A$2:$A$46,'[1]FFPC TE'!K$2:K$46,,0)</f>
        <v>3.8</v>
      </c>
      <c r="R143">
        <f>_xlfn.XLOOKUP($B143,'[1]FFPC TE'!$A$2:$A$46,'[1]FFPC TE'!L$2:L$46,,0)</f>
        <v>8.4</v>
      </c>
      <c r="S143">
        <f>_xlfn.XLOOKUP($B143,'[1]FFPC TE'!$A$2:$A$46,'[1]FFPC TE'!M$2:M$46,,0)</f>
        <v>7.9</v>
      </c>
      <c r="T143">
        <f>_xlfn.XLOOKUP($B143,'[1]FFPC TE'!$A$2:$A$46,'[1]FFPC TE'!N$2:N$46,,0)</f>
        <v>14.9</v>
      </c>
      <c r="U143">
        <f>_xlfn.XLOOKUP($B143,'[1]FFPC TE'!$A$2:$A$46,'[1]FFPC TE'!O$2:O$46,,0)</f>
        <v>10.199999999999999</v>
      </c>
      <c r="V143">
        <f>_xlfn.XLOOKUP($B143,'[1]FFPC TE'!$A$2:$A$46,'[1]FFPC TE'!P$2:P$46,,0)</f>
        <v>12.600000000000001</v>
      </c>
      <c r="W143">
        <f>_xlfn.XLOOKUP($B143,'[1]FFPC TE'!$A$2:$A$46,'[1]FFPC TE'!Q$2:Q$46,,0)</f>
        <v>1.7</v>
      </c>
      <c r="X143">
        <f>_xlfn.XLOOKUP($B143,'[1]FFPC TE'!$A$2:$A$46,'[1]FFPC TE'!R$2:R$46,,0)</f>
        <v>0</v>
      </c>
      <c r="Y143">
        <f t="shared" si="2"/>
        <v>138.29999999999998</v>
      </c>
      <c r="Z143">
        <v>7.5</v>
      </c>
      <c r="AA143">
        <v>7</v>
      </c>
      <c r="AB143">
        <v>1</v>
      </c>
      <c r="AC143">
        <v>4</v>
      </c>
      <c r="AD143">
        <v>1</v>
      </c>
      <c r="AE143">
        <v>0</v>
      </c>
      <c r="AF143">
        <v>0</v>
      </c>
      <c r="AG143">
        <v>0</v>
      </c>
      <c r="AH143">
        <v>0.23529411764705882</v>
      </c>
      <c r="AI143">
        <v>6.6666666666666666E-2</v>
      </c>
      <c r="AJ143">
        <v>0</v>
      </c>
      <c r="AK143">
        <v>0</v>
      </c>
      <c r="AL143">
        <v>0</v>
      </c>
    </row>
    <row r="144" spans="1:38" x14ac:dyDescent="0.25">
      <c r="A144">
        <v>2025</v>
      </c>
      <c r="B144" t="s">
        <v>128</v>
      </c>
      <c r="C144" t="s">
        <v>98</v>
      </c>
      <c r="D144" t="str" cm="1">
        <f t="array" ref="D144">_xlfn.XLOOKUP(1,('26 WR'!A:A=E144)*('26 WR'!B:B=F144),'26 WR'!C:C)</f>
        <v>Sam LaPorta</v>
      </c>
      <c r="E144" t="s">
        <v>28</v>
      </c>
      <c r="F144">
        <v>8</v>
      </c>
      <c r="G144">
        <v>89</v>
      </c>
      <c r="H144">
        <f>_xlfn.XLOOKUP($B144,'[1]FFPC TE'!$A$2:$A$46,'[1]FFPC TE'!B$2:B$46,,0)</f>
        <v>6.6</v>
      </c>
      <c r="I144">
        <f>_xlfn.XLOOKUP($B144,'[1]FFPC TE'!$A$2:$A$46,'[1]FFPC TE'!C$2:C$46,,0)</f>
        <v>2.7</v>
      </c>
      <c r="J144">
        <f>_xlfn.XLOOKUP($B144,'[1]FFPC TE'!$A$2:$A$46,'[1]FFPC TE'!D$2:D$46,,0)</f>
        <v>0</v>
      </c>
      <c r="K144">
        <f>_xlfn.XLOOKUP($B144,'[1]FFPC TE'!$A$2:$A$46,'[1]FFPC TE'!E$2:E$46,,0)</f>
        <v>8.9</v>
      </c>
      <c r="L144">
        <f>_xlfn.XLOOKUP($B144,'[1]FFPC TE'!$A$2:$A$46,'[1]FFPC TE'!F$2:F$46,,0)</f>
        <v>15.3</v>
      </c>
      <c r="M144">
        <f>_xlfn.XLOOKUP($B144,'[1]FFPC TE'!$A$2:$A$46,'[1]FFPC TE'!G$2:G$46,,0)</f>
        <v>11.7</v>
      </c>
      <c r="N144">
        <f>_xlfn.XLOOKUP($B144,'[1]FFPC TE'!$A$2:$A$46,'[1]FFPC TE'!H$2:H$46,,0)</f>
        <v>11.7</v>
      </c>
      <c r="O144">
        <f>_xlfn.XLOOKUP($B144,'[1]FFPC TE'!$A$2:$A$46,'[1]FFPC TE'!I$2:I$46,,0)</f>
        <v>9.6</v>
      </c>
      <c r="P144">
        <f>_xlfn.XLOOKUP($B144,'[1]FFPC TE'!$A$2:$A$46,'[1]FFPC TE'!J$2:J$46,,0)</f>
        <v>0</v>
      </c>
      <c r="Q144">
        <f>_xlfn.XLOOKUP($B144,'[1]FFPC TE'!$A$2:$A$46,'[1]FFPC TE'!K$2:K$46,,0)</f>
        <v>4.2</v>
      </c>
      <c r="R144">
        <f>_xlfn.XLOOKUP($B144,'[1]FFPC TE'!$A$2:$A$46,'[1]FFPC TE'!L$2:L$46,,0)</f>
        <v>9.3000000000000007</v>
      </c>
      <c r="S144">
        <f>_xlfn.XLOOKUP($B144,'[1]FFPC TE'!$A$2:$A$46,'[1]FFPC TE'!M$2:M$46,,0)</f>
        <v>0</v>
      </c>
      <c r="T144">
        <f>_xlfn.XLOOKUP($B144,'[1]FFPC TE'!$A$2:$A$46,'[1]FFPC TE'!N$2:N$46,,0)</f>
        <v>16.899999999999999</v>
      </c>
      <c r="U144">
        <f>_xlfn.XLOOKUP($B144,'[1]FFPC TE'!$A$2:$A$46,'[1]FFPC TE'!O$2:O$46,,0)</f>
        <v>3.8</v>
      </c>
      <c r="V144">
        <f>_xlfn.XLOOKUP($B144,'[1]FFPC TE'!$A$2:$A$46,'[1]FFPC TE'!P$2:P$46,,0)</f>
        <v>2.7</v>
      </c>
      <c r="W144">
        <f>_xlfn.XLOOKUP($B144,'[1]FFPC TE'!$A$2:$A$46,'[1]FFPC TE'!Q$2:Q$46,,0)</f>
        <v>6.6</v>
      </c>
      <c r="X144">
        <f>_xlfn.XLOOKUP($B144,'[1]FFPC TE'!$A$2:$A$46,'[1]FFPC TE'!R$2:R$46,,0)</f>
        <v>8.1</v>
      </c>
      <c r="Y144">
        <f t="shared" si="2"/>
        <v>118.1</v>
      </c>
      <c r="Z144">
        <v>6.4</v>
      </c>
      <c r="AA144">
        <v>8</v>
      </c>
      <c r="AB144">
        <v>1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0.11764705882352941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2025</v>
      </c>
      <c r="B145" t="s">
        <v>130</v>
      </c>
      <c r="C145" t="s">
        <v>41</v>
      </c>
      <c r="D145" t="str" cm="1">
        <f t="array" ref="D145">_xlfn.XLOOKUP(1,('26 WR'!A:A=E145)*('26 WR'!B:B=F145),'26 WR'!C:C)</f>
        <v>Travis Kelce</v>
      </c>
      <c r="E145" t="s">
        <v>28</v>
      </c>
      <c r="F145">
        <v>9</v>
      </c>
      <c r="G145">
        <v>91</v>
      </c>
      <c r="H145">
        <f>_xlfn.XLOOKUP($B145,'[1]FFPC TE'!$A$2:$A$46,'[1]FFPC TE'!B$2:B$46,,0)</f>
        <v>2</v>
      </c>
      <c r="I145">
        <f>_xlfn.XLOOKUP($B145,'[1]FFPC TE'!$A$2:$A$46,'[1]FFPC TE'!C$2:C$46,,0)</f>
        <v>1.7</v>
      </c>
      <c r="J145">
        <f>_xlfn.XLOOKUP($B145,'[1]FFPC TE'!$A$2:$A$46,'[1]FFPC TE'!D$2:D$46,,0)</f>
        <v>30.1</v>
      </c>
      <c r="K145">
        <f>_xlfn.XLOOKUP($B145,'[1]FFPC TE'!$A$2:$A$46,'[1]FFPC TE'!E$2:E$46,,0)</f>
        <v>13.5</v>
      </c>
      <c r="L145">
        <f>_xlfn.XLOOKUP($B145,'[1]FFPC TE'!$A$2:$A$46,'[1]FFPC TE'!F$2:F$46,,0)</f>
        <v>5.2</v>
      </c>
      <c r="M145">
        <f>_xlfn.XLOOKUP($B145,'[1]FFPC TE'!$A$2:$A$46,'[1]FFPC TE'!G$2:G$46,,0)</f>
        <v>8.4</v>
      </c>
      <c r="N145">
        <f>_xlfn.XLOOKUP($B145,'[1]FFPC TE'!$A$2:$A$46,'[1]FFPC TE'!H$2:H$46,,0)</f>
        <v>0</v>
      </c>
      <c r="O145">
        <f>_xlfn.XLOOKUP($B145,'[1]FFPC TE'!$A$2:$A$46,'[1]FFPC TE'!I$2:I$46,,0)</f>
        <v>7.9</v>
      </c>
      <c r="P145">
        <f>_xlfn.XLOOKUP($B145,'[1]FFPC TE'!$A$2:$A$46,'[1]FFPC TE'!J$2:J$46,,0)</f>
        <v>17.2</v>
      </c>
      <c r="Q145">
        <f>_xlfn.XLOOKUP($B145,'[1]FFPC TE'!$A$2:$A$46,'[1]FFPC TE'!K$2:K$46,,0)</f>
        <v>11.9</v>
      </c>
      <c r="R145">
        <f>_xlfn.XLOOKUP($B145,'[1]FFPC TE'!$A$2:$A$46,'[1]FFPC TE'!L$2:L$46,,0)</f>
        <v>7.7</v>
      </c>
      <c r="S145">
        <f>_xlfn.XLOOKUP($B145,'[1]FFPC TE'!$A$2:$A$46,'[1]FFPC TE'!M$2:M$46,,0)</f>
        <v>2.4</v>
      </c>
      <c r="T145">
        <f>_xlfn.XLOOKUP($B145,'[1]FFPC TE'!$A$2:$A$46,'[1]FFPC TE'!N$2:N$46,,0)</f>
        <v>10.7</v>
      </c>
      <c r="U145">
        <f>_xlfn.XLOOKUP($B145,'[1]FFPC TE'!$A$2:$A$46,'[1]FFPC TE'!O$2:O$46,,0)</f>
        <v>2.4</v>
      </c>
      <c r="V145">
        <f>_xlfn.XLOOKUP($B145,'[1]FFPC TE'!$A$2:$A$46,'[1]FFPC TE'!P$2:P$46,,0)</f>
        <v>4.8</v>
      </c>
      <c r="W145">
        <f>_xlfn.XLOOKUP($B145,'[1]FFPC TE'!$A$2:$A$46,'[1]FFPC TE'!Q$2:Q$46,,0)</f>
        <v>5.0999999999999996</v>
      </c>
      <c r="X145">
        <f>_xlfn.XLOOKUP($B145,'[1]FFPC TE'!$A$2:$A$46,'[1]FFPC TE'!R$2:R$46,,0)</f>
        <v>8.8000000000000007</v>
      </c>
      <c r="Y145">
        <f t="shared" si="2"/>
        <v>139.80000000000004</v>
      </c>
      <c r="Z145">
        <v>7.7</v>
      </c>
      <c r="AA145">
        <v>9</v>
      </c>
      <c r="AB145">
        <v>1</v>
      </c>
      <c r="AC145">
        <v>4</v>
      </c>
      <c r="AD145">
        <v>3</v>
      </c>
      <c r="AE145">
        <v>1</v>
      </c>
      <c r="AF145">
        <v>1</v>
      </c>
      <c r="AG145">
        <v>0</v>
      </c>
      <c r="AH145">
        <v>0.23529411764705882</v>
      </c>
      <c r="AI145">
        <v>0.17647058823529413</v>
      </c>
      <c r="AJ145">
        <v>5.8823529411764705E-2</v>
      </c>
      <c r="AK145">
        <v>5.8823529411764705E-2</v>
      </c>
      <c r="AL145">
        <v>0</v>
      </c>
    </row>
    <row r="146" spans="1:38" x14ac:dyDescent="0.25">
      <c r="A146">
        <v>2025</v>
      </c>
      <c r="B146" t="s">
        <v>134</v>
      </c>
      <c r="C146" t="s">
        <v>132</v>
      </c>
      <c r="D146" t="str" cm="1">
        <f t="array" ref="D146">_xlfn.XLOOKUP(1,('26 WR'!A:A=E146)*('26 WR'!B:B=F146),'26 WR'!C:C)</f>
        <v>Jake Ferguson</v>
      </c>
      <c r="E146" t="s">
        <v>28</v>
      </c>
      <c r="F146">
        <v>10</v>
      </c>
      <c r="G146">
        <v>96</v>
      </c>
      <c r="H146">
        <f>_xlfn.XLOOKUP($B146,'[1]FFPC TE'!$A$2:$A$46,'[1]FFPC TE'!B$2:B$46,,0)</f>
        <v>8.1999999999999993</v>
      </c>
      <c r="I146">
        <f>_xlfn.XLOOKUP($B146,'[1]FFPC TE'!$A$2:$A$46,'[1]FFPC TE'!C$2:C$46,,0)</f>
        <v>10</v>
      </c>
      <c r="J146">
        <f>_xlfn.XLOOKUP($B146,'[1]FFPC TE'!$A$2:$A$46,'[1]FFPC TE'!D$2:D$46,,0)</f>
        <v>11.5</v>
      </c>
      <c r="K146">
        <f>_xlfn.XLOOKUP($B146,'[1]FFPC TE'!$A$2:$A$46,'[1]FFPC TE'!E$2:E$46,,0)</f>
        <v>4.0999999999999996</v>
      </c>
      <c r="L146">
        <f>_xlfn.XLOOKUP($B146,'[1]FFPC TE'!$A$2:$A$46,'[1]FFPC TE'!F$2:F$46,,0)</f>
        <v>21.7</v>
      </c>
      <c r="M146">
        <f>_xlfn.XLOOKUP($B146,'[1]FFPC TE'!$A$2:$A$46,'[1]FFPC TE'!G$2:G$46,,0)</f>
        <v>7.3000000000000007</v>
      </c>
      <c r="N146">
        <f>_xlfn.XLOOKUP($B146,'[1]FFPC TE'!$A$2:$A$46,'[1]FFPC TE'!H$2:H$46,,0)</f>
        <v>0</v>
      </c>
      <c r="O146">
        <f>_xlfn.XLOOKUP($B146,'[1]FFPC TE'!$A$2:$A$46,'[1]FFPC TE'!I$2:I$46,,0)</f>
        <v>15.7</v>
      </c>
      <c r="P146">
        <f>_xlfn.XLOOKUP($B146,'[1]FFPC TE'!$A$2:$A$46,'[1]FFPC TE'!J$2:J$46,,0)</f>
        <v>0</v>
      </c>
      <c r="Q146">
        <f>_xlfn.XLOOKUP($B146,'[1]FFPC TE'!$A$2:$A$46,'[1]FFPC TE'!K$2:K$46,,0)</f>
        <v>11.1</v>
      </c>
      <c r="R146">
        <f>_xlfn.XLOOKUP($B146,'[1]FFPC TE'!$A$2:$A$46,'[1]FFPC TE'!L$2:L$46,,0)</f>
        <v>2.2000000000000002</v>
      </c>
      <c r="S146">
        <f>_xlfn.XLOOKUP($B146,'[1]FFPC TE'!$A$2:$A$46,'[1]FFPC TE'!M$2:M$46,,0)</f>
        <v>0</v>
      </c>
      <c r="T146">
        <f>_xlfn.XLOOKUP($B146,'[1]FFPC TE'!$A$2:$A$46,'[1]FFPC TE'!N$2:N$46,,0)</f>
        <v>3.4</v>
      </c>
      <c r="U146">
        <f>_xlfn.XLOOKUP($B146,'[1]FFPC TE'!$A$2:$A$46,'[1]FFPC TE'!O$2:O$46,,0)</f>
        <v>7.6</v>
      </c>
      <c r="V146">
        <f>_xlfn.XLOOKUP($B146,'[1]FFPC TE'!$A$2:$A$46,'[1]FFPC TE'!P$2:P$46,,0)</f>
        <v>0</v>
      </c>
      <c r="W146">
        <f>_xlfn.XLOOKUP($B146,'[1]FFPC TE'!$A$2:$A$46,'[1]FFPC TE'!Q$2:Q$46,,0)</f>
        <v>0</v>
      </c>
      <c r="X146">
        <f>_xlfn.XLOOKUP($B146,'[1]FFPC TE'!$A$2:$A$46,'[1]FFPC TE'!R$2:R$46,,0)</f>
        <v>0</v>
      </c>
      <c r="Y146">
        <f t="shared" si="2"/>
        <v>102.8</v>
      </c>
      <c r="Z146">
        <v>7.2</v>
      </c>
      <c r="AA146">
        <v>9</v>
      </c>
      <c r="AB146">
        <v>1</v>
      </c>
      <c r="AC146">
        <v>3</v>
      </c>
      <c r="AD146">
        <v>1</v>
      </c>
      <c r="AE146">
        <v>0</v>
      </c>
      <c r="AF146">
        <v>0</v>
      </c>
      <c r="AG146">
        <v>0</v>
      </c>
      <c r="AH146">
        <v>0.17647058823529413</v>
      </c>
      <c r="AI146">
        <v>8.3333333333333329E-2</v>
      </c>
      <c r="AJ146">
        <v>0</v>
      </c>
      <c r="AK146">
        <v>0</v>
      </c>
      <c r="AL146">
        <v>0</v>
      </c>
    </row>
    <row r="147" spans="1:38" x14ac:dyDescent="0.25">
      <c r="A147">
        <v>2025</v>
      </c>
      <c r="B147" t="s">
        <v>137</v>
      </c>
      <c r="C147" t="s">
        <v>110</v>
      </c>
      <c r="D147" t="str" cm="1">
        <f t="array" ref="D147">_xlfn.XLOOKUP(1,('26 WR'!A:A=E147)*('26 WR'!B:B=F147),'26 WR'!C:C)</f>
        <v>Dalton Kincaid</v>
      </c>
      <c r="E147" t="s">
        <v>28</v>
      </c>
      <c r="F147">
        <v>11</v>
      </c>
      <c r="G147">
        <v>99</v>
      </c>
      <c r="H147">
        <f>_xlfn.XLOOKUP($B147,'[1]FFPC TE'!$A$2:$A$46,'[1]FFPC TE'!B$2:B$46,,0)</f>
        <v>4.2</v>
      </c>
      <c r="I147">
        <f>_xlfn.XLOOKUP($B147,'[1]FFPC TE'!$A$2:$A$46,'[1]FFPC TE'!C$2:C$46,,0)</f>
        <v>0</v>
      </c>
      <c r="J147">
        <f>_xlfn.XLOOKUP($B147,'[1]FFPC TE'!$A$2:$A$46,'[1]FFPC TE'!D$2:D$46,,0)</f>
        <v>4.5999999999999996</v>
      </c>
      <c r="K147">
        <f>_xlfn.XLOOKUP($B147,'[1]FFPC TE'!$A$2:$A$46,'[1]FFPC TE'!E$2:E$46,,0)</f>
        <v>0</v>
      </c>
      <c r="L147">
        <f>_xlfn.XLOOKUP($B147,'[1]FFPC TE'!$A$2:$A$46,'[1]FFPC TE'!F$2:F$46,,0)</f>
        <v>0</v>
      </c>
      <c r="M147">
        <f>_xlfn.XLOOKUP($B147,'[1]FFPC TE'!$A$2:$A$46,'[1]FFPC TE'!G$2:G$46,,0)</f>
        <v>4.0999999999999996</v>
      </c>
      <c r="N147">
        <f>_xlfn.XLOOKUP($B147,'[1]FFPC TE'!$A$2:$A$46,'[1]FFPC TE'!H$2:H$46,,0)</f>
        <v>6.9</v>
      </c>
      <c r="O147">
        <f>_xlfn.XLOOKUP($B147,'[1]FFPC TE'!$A$2:$A$46,'[1]FFPC TE'!I$2:I$46,,0)</f>
        <v>8.3000000000000007</v>
      </c>
      <c r="P147">
        <f>_xlfn.XLOOKUP($B147,'[1]FFPC TE'!$A$2:$A$46,'[1]FFPC TE'!J$2:J$46,,0)</f>
        <v>32.799999999999997</v>
      </c>
      <c r="Q147">
        <f>_xlfn.XLOOKUP($B147,'[1]FFPC TE'!$A$2:$A$46,'[1]FFPC TE'!K$2:K$46,,0)</f>
        <v>11.5</v>
      </c>
      <c r="R147">
        <f>_xlfn.XLOOKUP($B147,'[1]FFPC TE'!$A$2:$A$46,'[1]FFPC TE'!L$2:L$46,,0)</f>
        <v>8.5</v>
      </c>
      <c r="S147">
        <f>_xlfn.XLOOKUP($B147,'[1]FFPC TE'!$A$2:$A$46,'[1]FFPC TE'!M$2:M$46,,0)</f>
        <v>16.899999999999999</v>
      </c>
      <c r="T147">
        <f>_xlfn.XLOOKUP($B147,'[1]FFPC TE'!$A$2:$A$46,'[1]FFPC TE'!N$2:N$46,,0)</f>
        <v>7.3000000000000007</v>
      </c>
      <c r="U147">
        <f>_xlfn.XLOOKUP($B147,'[1]FFPC TE'!$A$2:$A$46,'[1]FFPC TE'!O$2:O$46,,0)</f>
        <v>14.9</v>
      </c>
      <c r="V147">
        <f>_xlfn.XLOOKUP($B147,'[1]FFPC TE'!$A$2:$A$46,'[1]FFPC TE'!P$2:P$46,,0)</f>
        <v>12.3</v>
      </c>
      <c r="W147">
        <f>_xlfn.XLOOKUP($B147,'[1]FFPC TE'!$A$2:$A$46,'[1]FFPC TE'!Q$2:Q$46,,0)</f>
        <v>7.5</v>
      </c>
      <c r="X147">
        <f>_xlfn.XLOOKUP($B147,'[1]FFPC TE'!$A$2:$A$46,'[1]FFPC TE'!R$2:R$46,,0)</f>
        <v>24.4</v>
      </c>
      <c r="Y147">
        <f t="shared" si="2"/>
        <v>164.20000000000002</v>
      </c>
      <c r="Z147">
        <v>10.3</v>
      </c>
      <c r="AA147">
        <v>9</v>
      </c>
      <c r="AB147">
        <v>1</v>
      </c>
      <c r="AC147">
        <v>6</v>
      </c>
      <c r="AD147">
        <v>3</v>
      </c>
      <c r="AE147">
        <v>3</v>
      </c>
      <c r="AF147">
        <v>2</v>
      </c>
      <c r="AG147">
        <v>0</v>
      </c>
      <c r="AH147">
        <v>0.35294117647058826</v>
      </c>
      <c r="AI147">
        <v>0.1875</v>
      </c>
      <c r="AJ147">
        <v>0.1875</v>
      </c>
      <c r="AK147">
        <v>0.125</v>
      </c>
      <c r="AL147">
        <v>0</v>
      </c>
    </row>
    <row r="148" spans="1:38" x14ac:dyDescent="0.25">
      <c r="A148">
        <v>2025</v>
      </c>
      <c r="B148" t="s">
        <v>140</v>
      </c>
      <c r="C148" t="s">
        <v>61</v>
      </c>
      <c r="D148" t="str" cm="1">
        <f t="array" ref="D148">_xlfn.XLOOKUP(1,('26 WR'!A:A=E148)*('26 WR'!B:B=F148),'26 WR'!C:C)</f>
        <v>George Kittle</v>
      </c>
      <c r="E148" t="s">
        <v>28</v>
      </c>
      <c r="F148">
        <v>12</v>
      </c>
      <c r="G148">
        <v>102</v>
      </c>
      <c r="H148">
        <f>_xlfn.XLOOKUP($B148,'[1]FFPC TE'!$A$2:$A$46,'[1]FFPC TE'!B$2:B$46,,0)</f>
        <v>10.6</v>
      </c>
      <c r="I148">
        <f>_xlfn.XLOOKUP($B148,'[1]FFPC TE'!$A$2:$A$46,'[1]FFPC TE'!C$2:C$46,,0)</f>
        <v>27.4</v>
      </c>
      <c r="J148">
        <f>_xlfn.XLOOKUP($B148,'[1]FFPC TE'!$A$2:$A$46,'[1]FFPC TE'!D$2:D$46,,0)</f>
        <v>7.4</v>
      </c>
      <c r="K148">
        <f>_xlfn.XLOOKUP($B148,'[1]FFPC TE'!$A$2:$A$46,'[1]FFPC TE'!E$2:E$46,,0)</f>
        <v>13.100000000000001</v>
      </c>
      <c r="L148">
        <f>_xlfn.XLOOKUP($B148,'[1]FFPC TE'!$A$2:$A$46,'[1]FFPC TE'!F$2:F$46,,0)</f>
        <v>0</v>
      </c>
      <c r="M148">
        <f>_xlfn.XLOOKUP($B148,'[1]FFPC TE'!$A$2:$A$46,'[1]FFPC TE'!G$2:G$46,,0)</f>
        <v>13.3</v>
      </c>
      <c r="N148">
        <f>_xlfn.XLOOKUP($B148,'[1]FFPC TE'!$A$2:$A$46,'[1]FFPC TE'!H$2:H$46,,0)</f>
        <v>19.3</v>
      </c>
      <c r="O148">
        <f>_xlfn.XLOOKUP($B148,'[1]FFPC TE'!$A$2:$A$46,'[1]FFPC TE'!I$2:I$46,,0)</f>
        <v>36.799999999999997</v>
      </c>
      <c r="P148">
        <f>_xlfn.XLOOKUP($B148,'[1]FFPC TE'!$A$2:$A$46,'[1]FFPC TE'!J$2:J$46,,0)</f>
        <v>5</v>
      </c>
      <c r="Q148">
        <f>_xlfn.XLOOKUP($B148,'[1]FFPC TE'!$A$2:$A$46,'[1]FFPC TE'!K$2:K$46,,0)</f>
        <v>0</v>
      </c>
      <c r="R148">
        <f>_xlfn.XLOOKUP($B148,'[1]FFPC TE'!$A$2:$A$46,'[1]FFPC TE'!L$2:L$46,,0)</f>
        <v>0</v>
      </c>
      <c r="S148">
        <f>_xlfn.XLOOKUP($B148,'[1]FFPC TE'!$A$2:$A$46,'[1]FFPC TE'!M$2:M$46,,0)</f>
        <v>0</v>
      </c>
      <c r="T148">
        <f>_xlfn.XLOOKUP($B148,'[1]FFPC TE'!$A$2:$A$46,'[1]FFPC TE'!N$2:N$46,,0)</f>
        <v>0</v>
      </c>
      <c r="U148">
        <f>_xlfn.XLOOKUP($B148,'[1]FFPC TE'!$A$2:$A$46,'[1]FFPC TE'!O$2:O$46,,0)</f>
        <v>0</v>
      </c>
      <c r="V148">
        <f>_xlfn.XLOOKUP($B148,'[1]FFPC TE'!$A$2:$A$46,'[1]FFPC TE'!P$2:P$46,,0)</f>
        <v>0</v>
      </c>
      <c r="W148">
        <f>_xlfn.XLOOKUP($B148,'[1]FFPC TE'!$A$2:$A$46,'[1]FFPC TE'!Q$2:Q$46,,0)</f>
        <v>0</v>
      </c>
      <c r="X148">
        <f>_xlfn.XLOOKUP($B148,'[1]FFPC TE'!$A$2:$A$46,'[1]FFPC TE'!R$2:R$46,,0)</f>
        <v>0</v>
      </c>
      <c r="Y148">
        <f t="shared" si="2"/>
        <v>132.89999999999998</v>
      </c>
      <c r="Z148">
        <v>14.7</v>
      </c>
      <c r="AA148">
        <v>10</v>
      </c>
      <c r="AB148">
        <v>1</v>
      </c>
      <c r="AC148">
        <v>5</v>
      </c>
      <c r="AD148">
        <v>3</v>
      </c>
      <c r="AE148">
        <v>2</v>
      </c>
      <c r="AF148">
        <v>1</v>
      </c>
      <c r="AG148">
        <v>1</v>
      </c>
      <c r="AH148">
        <v>0.29411764705882354</v>
      </c>
      <c r="AI148">
        <v>0.375</v>
      </c>
      <c r="AJ148">
        <v>0.25</v>
      </c>
      <c r="AK148">
        <v>0.125</v>
      </c>
      <c r="AL148">
        <v>0.125</v>
      </c>
    </row>
    <row r="149" spans="1:38" x14ac:dyDescent="0.25">
      <c r="A149">
        <v>2025</v>
      </c>
      <c r="B149" t="s">
        <v>151</v>
      </c>
      <c r="C149" t="s">
        <v>24</v>
      </c>
      <c r="D149" t="str" cm="1">
        <f t="array" ref="D149">_xlfn.XLOOKUP(1,('26 WR'!A:A=E149)*('26 WR'!B:B=F149),'26 WR'!C:C)</f>
        <v>Isaiah Likely</v>
      </c>
      <c r="E149" t="s">
        <v>28</v>
      </c>
      <c r="F149">
        <v>13</v>
      </c>
      <c r="G149">
        <v>114</v>
      </c>
      <c r="H149">
        <f>_xlfn.XLOOKUP($B149,'[1]FFPC TE'!$A$2:$A$46,'[1]FFPC TE'!B$2:B$46,,0)</f>
        <v>16.399999999999999</v>
      </c>
      <c r="I149">
        <f>_xlfn.XLOOKUP($B149,'[1]FFPC TE'!$A$2:$A$46,'[1]FFPC TE'!C$2:C$46,,0)</f>
        <v>9.6999999999999993</v>
      </c>
      <c r="J149">
        <f>_xlfn.XLOOKUP($B149,'[1]FFPC TE'!$A$2:$A$46,'[1]FFPC TE'!D$2:D$46,,0)</f>
        <v>9.9</v>
      </c>
      <c r="K149">
        <f>_xlfn.XLOOKUP($B149,'[1]FFPC TE'!$A$2:$A$46,'[1]FFPC TE'!E$2:E$46,,0)</f>
        <v>20.5</v>
      </c>
      <c r="L149">
        <f>_xlfn.XLOOKUP($B149,'[1]FFPC TE'!$A$2:$A$46,'[1]FFPC TE'!F$2:F$46,,0)</f>
        <v>0</v>
      </c>
      <c r="M149">
        <f>_xlfn.XLOOKUP($B149,'[1]FFPC TE'!$A$2:$A$46,'[1]FFPC TE'!G$2:G$46,,0)</f>
        <v>6.3</v>
      </c>
      <c r="N149">
        <f>_xlfn.XLOOKUP($B149,'[1]FFPC TE'!$A$2:$A$46,'[1]FFPC TE'!H$2:H$46,,0)</f>
        <v>16.7</v>
      </c>
      <c r="O149">
        <f>_xlfn.XLOOKUP($B149,'[1]FFPC TE'!$A$2:$A$46,'[1]FFPC TE'!I$2:I$46,,0)</f>
        <v>19.399999999999999</v>
      </c>
      <c r="P149">
        <f>_xlfn.XLOOKUP($B149,'[1]FFPC TE'!$A$2:$A$46,'[1]FFPC TE'!J$2:J$46,,0)</f>
        <v>9.8000000000000007</v>
      </c>
      <c r="Q149">
        <f>_xlfn.XLOOKUP($B149,'[1]FFPC TE'!$A$2:$A$46,'[1]FFPC TE'!K$2:K$46,,0)</f>
        <v>6.8000000000000007</v>
      </c>
      <c r="R149">
        <f>_xlfn.XLOOKUP($B149,'[1]FFPC TE'!$A$2:$A$46,'[1]FFPC TE'!L$2:L$46,,0)</f>
        <v>4.4000000000000004</v>
      </c>
      <c r="S149">
        <f>_xlfn.XLOOKUP($B149,'[1]FFPC TE'!$A$2:$A$46,'[1]FFPC TE'!M$2:M$46,,0)</f>
        <v>5.5</v>
      </c>
      <c r="T149">
        <f>_xlfn.XLOOKUP($B149,'[1]FFPC TE'!$A$2:$A$46,'[1]FFPC TE'!N$2:N$46,,0)</f>
        <v>18.700000000000003</v>
      </c>
      <c r="U149">
        <f>_xlfn.XLOOKUP($B149,'[1]FFPC TE'!$A$2:$A$46,'[1]FFPC TE'!O$2:O$46,,0)</f>
        <v>18</v>
      </c>
      <c r="V149">
        <f>_xlfn.XLOOKUP($B149,'[1]FFPC TE'!$A$2:$A$46,'[1]FFPC TE'!P$2:P$46,,0)</f>
        <v>51.1</v>
      </c>
      <c r="W149">
        <f>_xlfn.XLOOKUP($B149,'[1]FFPC TE'!$A$2:$A$46,'[1]FFPC TE'!Q$2:Q$46,,0)</f>
        <v>22.2</v>
      </c>
      <c r="X149">
        <f>_xlfn.XLOOKUP($B149,'[1]FFPC TE'!$A$2:$A$46,'[1]FFPC TE'!R$2:R$46,,0)</f>
        <v>4.5999999999999996</v>
      </c>
      <c r="Y149">
        <f t="shared" si="2"/>
        <v>240</v>
      </c>
      <c r="Z149">
        <v>12.4</v>
      </c>
      <c r="AA149">
        <v>11</v>
      </c>
      <c r="AB149">
        <v>1</v>
      </c>
      <c r="AC149">
        <v>9</v>
      </c>
      <c r="AD149">
        <v>4</v>
      </c>
      <c r="AE149">
        <v>1</v>
      </c>
      <c r="AF149">
        <v>1</v>
      </c>
      <c r="AG149">
        <v>1</v>
      </c>
      <c r="AH149">
        <v>0.52941176470588236</v>
      </c>
      <c r="AI149">
        <v>0.23529411764705882</v>
      </c>
      <c r="AJ149">
        <v>5.8823529411764705E-2</v>
      </c>
      <c r="AK149">
        <v>5.8823529411764705E-2</v>
      </c>
      <c r="AL149">
        <v>5.8823529411764705E-2</v>
      </c>
    </row>
    <row r="150" spans="1:38" x14ac:dyDescent="0.25">
      <c r="A150">
        <v>2025</v>
      </c>
      <c r="B150" t="s">
        <v>157</v>
      </c>
      <c r="C150" t="s">
        <v>68</v>
      </c>
      <c r="D150" t="str" cm="1">
        <f t="array" ref="D150">_xlfn.XLOOKUP(1,('26 WR'!A:A=E150)*('26 WR'!B:B=F150),'26 WR'!C:C)</f>
        <v>Dallas Goedert</v>
      </c>
      <c r="E150" t="s">
        <v>28</v>
      </c>
      <c r="F150">
        <v>14</v>
      </c>
      <c r="G150">
        <v>121</v>
      </c>
      <c r="H150">
        <f>_xlfn.XLOOKUP($B150,'[1]FFPC TE'!$A$2:$A$46,'[1]FFPC TE'!B$2:B$46,,0)</f>
        <v>16.8</v>
      </c>
      <c r="I150">
        <f>_xlfn.XLOOKUP($B150,'[1]FFPC TE'!$A$2:$A$46,'[1]FFPC TE'!C$2:C$46,,0)</f>
        <v>9.6999999999999993</v>
      </c>
      <c r="J150">
        <f>_xlfn.XLOOKUP($B150,'[1]FFPC TE'!$A$2:$A$46,'[1]FFPC TE'!D$2:D$46,,0)</f>
        <v>20.100000000000001</v>
      </c>
      <c r="K150">
        <f>_xlfn.XLOOKUP($B150,'[1]FFPC TE'!$A$2:$A$46,'[1]FFPC TE'!E$2:E$46,,0)</f>
        <v>10.3</v>
      </c>
      <c r="L150">
        <f>_xlfn.XLOOKUP($B150,'[1]FFPC TE'!$A$2:$A$46,'[1]FFPC TE'!F$2:F$46,,0)</f>
        <v>19.8</v>
      </c>
      <c r="M150">
        <f>_xlfn.XLOOKUP($B150,'[1]FFPC TE'!$A$2:$A$46,'[1]FFPC TE'!G$2:G$46,,0)</f>
        <v>0</v>
      </c>
      <c r="N150">
        <f>_xlfn.XLOOKUP($B150,'[1]FFPC TE'!$A$2:$A$46,'[1]FFPC TE'!H$2:H$46,,0)</f>
        <v>0</v>
      </c>
      <c r="O150">
        <f>_xlfn.XLOOKUP($B150,'[1]FFPC TE'!$A$2:$A$46,'[1]FFPC TE'!I$2:I$46,,0)</f>
        <v>3.8000000000000003</v>
      </c>
      <c r="P150">
        <f>_xlfn.XLOOKUP($B150,'[1]FFPC TE'!$A$2:$A$46,'[1]FFPC TE'!J$2:J$46,,0)</f>
        <v>25.1</v>
      </c>
      <c r="Q150">
        <f>_xlfn.XLOOKUP($B150,'[1]FFPC TE'!$A$2:$A$46,'[1]FFPC TE'!K$2:K$46,,0)</f>
        <v>6.7</v>
      </c>
      <c r="R150">
        <f>_xlfn.XLOOKUP($B150,'[1]FFPC TE'!$A$2:$A$46,'[1]FFPC TE'!L$2:L$46,,0)</f>
        <v>0</v>
      </c>
      <c r="S150">
        <f>_xlfn.XLOOKUP($B150,'[1]FFPC TE'!$A$2:$A$46,'[1]FFPC TE'!M$2:M$46,,0)</f>
        <v>0</v>
      </c>
      <c r="T150">
        <f>_xlfn.XLOOKUP($B150,'[1]FFPC TE'!$A$2:$A$46,'[1]FFPC TE'!N$2:N$46,,0)</f>
        <v>0</v>
      </c>
      <c r="U150">
        <f>_xlfn.XLOOKUP($B150,'[1]FFPC TE'!$A$2:$A$46,'[1]FFPC TE'!O$2:O$46,,0)</f>
        <v>16.100000000000001</v>
      </c>
      <c r="V150">
        <f>_xlfn.XLOOKUP($B150,'[1]FFPC TE'!$A$2:$A$46,'[1]FFPC TE'!P$2:P$46,,0)</f>
        <v>7.9</v>
      </c>
      <c r="W150">
        <f>_xlfn.XLOOKUP($B150,'[1]FFPC TE'!$A$2:$A$46,'[1]FFPC TE'!Q$2:Q$46,,0)</f>
        <v>0</v>
      </c>
      <c r="X150">
        <f>_xlfn.XLOOKUP($B150,'[1]FFPC TE'!$A$2:$A$46,'[1]FFPC TE'!R$2:R$46,,0)</f>
        <v>0</v>
      </c>
      <c r="Y150">
        <f t="shared" si="2"/>
        <v>136.30000000000001</v>
      </c>
      <c r="Z150">
        <v>10.5</v>
      </c>
      <c r="AA150">
        <v>11</v>
      </c>
      <c r="AB150">
        <v>1</v>
      </c>
      <c r="AC150">
        <v>5</v>
      </c>
      <c r="AD150">
        <v>3</v>
      </c>
      <c r="AE150">
        <v>1</v>
      </c>
      <c r="AF150">
        <v>0</v>
      </c>
      <c r="AG150">
        <v>0</v>
      </c>
      <c r="AH150">
        <v>0.29411764705882354</v>
      </c>
      <c r="AI150">
        <v>0.25</v>
      </c>
      <c r="AJ150">
        <v>8.3333333333333329E-2</v>
      </c>
      <c r="AK150">
        <v>0</v>
      </c>
      <c r="AL150">
        <v>0</v>
      </c>
    </row>
    <row r="151" spans="1:38" x14ac:dyDescent="0.25">
      <c r="A151">
        <v>2025</v>
      </c>
      <c r="B151" t="s">
        <v>162</v>
      </c>
      <c r="C151" t="s">
        <v>35</v>
      </c>
      <c r="D151" t="str" cm="1">
        <f t="array" ref="D151">_xlfn.XLOOKUP(1,('26 WR'!A:A=E151)*('26 WR'!B:B=F151),'26 WR'!C:C)</f>
        <v>Mark Andrews</v>
      </c>
      <c r="E151" t="s">
        <v>28</v>
      </c>
      <c r="F151">
        <v>15</v>
      </c>
      <c r="G151">
        <v>124</v>
      </c>
      <c r="H151">
        <f>_xlfn.XLOOKUP($B151,'[1]FFPC TE'!$A$2:$A$46,'[1]FFPC TE'!B$2:B$46,,0)</f>
        <v>9.8000000000000007</v>
      </c>
      <c r="I151">
        <f>_xlfn.XLOOKUP($B151,'[1]FFPC TE'!$A$2:$A$46,'[1]FFPC TE'!C$2:C$46,,0)</f>
        <v>21.3</v>
      </c>
      <c r="J151">
        <f>_xlfn.XLOOKUP($B151,'[1]FFPC TE'!$A$2:$A$46,'[1]FFPC TE'!D$2:D$46,,0)</f>
        <v>27.700000000000003</v>
      </c>
      <c r="K151">
        <f>_xlfn.XLOOKUP($B151,'[1]FFPC TE'!$A$2:$A$46,'[1]FFPC TE'!E$2:E$46,,0)</f>
        <v>20.5</v>
      </c>
      <c r="L151">
        <f>_xlfn.XLOOKUP($B151,'[1]FFPC TE'!$A$2:$A$46,'[1]FFPC TE'!F$2:F$46,,0)</f>
        <v>27.4</v>
      </c>
      <c r="M151">
        <f>_xlfn.XLOOKUP($B151,'[1]FFPC TE'!$A$2:$A$46,'[1]FFPC TE'!G$2:G$46,,0)</f>
        <v>13.8</v>
      </c>
      <c r="N151">
        <f>_xlfn.XLOOKUP($B151,'[1]FFPC TE'!$A$2:$A$46,'[1]FFPC TE'!H$2:H$46,,0)</f>
        <v>25.4</v>
      </c>
      <c r="O151">
        <f>_xlfn.XLOOKUP($B151,'[1]FFPC TE'!$A$2:$A$46,'[1]FFPC TE'!I$2:I$46,,0)</f>
        <v>0</v>
      </c>
      <c r="P151">
        <f>_xlfn.XLOOKUP($B151,'[1]FFPC TE'!$A$2:$A$46,'[1]FFPC TE'!J$2:J$46,,0)</f>
        <v>12.5</v>
      </c>
      <c r="Q151">
        <f>_xlfn.XLOOKUP($B151,'[1]FFPC TE'!$A$2:$A$46,'[1]FFPC TE'!K$2:K$46,,0)</f>
        <v>0</v>
      </c>
      <c r="R151">
        <f>_xlfn.XLOOKUP($B151,'[1]FFPC TE'!$A$2:$A$46,'[1]FFPC TE'!L$2:L$46,,0)</f>
        <v>13.6</v>
      </c>
      <c r="S151">
        <f>_xlfn.XLOOKUP($B151,'[1]FFPC TE'!$A$2:$A$46,'[1]FFPC TE'!M$2:M$46,,0)</f>
        <v>13.5</v>
      </c>
      <c r="T151">
        <f>_xlfn.XLOOKUP($B151,'[1]FFPC TE'!$A$2:$A$46,'[1]FFPC TE'!N$2:N$46,,0)</f>
        <v>11.1</v>
      </c>
      <c r="U151">
        <f>_xlfn.XLOOKUP($B151,'[1]FFPC TE'!$A$2:$A$46,'[1]FFPC TE'!O$2:O$46,,0)</f>
        <v>13.3</v>
      </c>
      <c r="V151">
        <f>_xlfn.XLOOKUP($B151,'[1]FFPC TE'!$A$2:$A$46,'[1]FFPC TE'!P$2:P$46,,0)</f>
        <v>4.5999999999999996</v>
      </c>
      <c r="W151">
        <f>_xlfn.XLOOKUP($B151,'[1]FFPC TE'!$A$2:$A$46,'[1]FFPC TE'!Q$2:Q$46,,0)</f>
        <v>6.4</v>
      </c>
      <c r="X151">
        <f>_xlfn.XLOOKUP($B151,'[1]FFPC TE'!$A$2:$A$46,'[1]FFPC TE'!R$2:R$46,,0)</f>
        <v>8.1</v>
      </c>
      <c r="Y151">
        <f t="shared" si="2"/>
        <v>229</v>
      </c>
      <c r="Z151">
        <v>11.1</v>
      </c>
      <c r="AA151">
        <v>12</v>
      </c>
      <c r="AB151">
        <v>1</v>
      </c>
      <c r="AC151">
        <v>9</v>
      </c>
      <c r="AD151">
        <v>5</v>
      </c>
      <c r="AE151">
        <v>3</v>
      </c>
      <c r="AF151">
        <v>0</v>
      </c>
      <c r="AG151">
        <v>0</v>
      </c>
      <c r="AH151">
        <v>0.52941176470588236</v>
      </c>
      <c r="AI151">
        <v>0.29411764705882354</v>
      </c>
      <c r="AJ151">
        <v>0.17647058823529413</v>
      </c>
      <c r="AK151">
        <v>0</v>
      </c>
      <c r="AL151">
        <v>0</v>
      </c>
    </row>
    <row r="152" spans="1:38" x14ac:dyDescent="0.25">
      <c r="A152">
        <v>2025</v>
      </c>
      <c r="B152" t="s">
        <v>166</v>
      </c>
      <c r="C152" t="s">
        <v>33</v>
      </c>
      <c r="D152" t="str" cm="1">
        <f t="array" ref="D152">_xlfn.XLOOKUP(1,('26 WR'!A:A=E152)*('26 WR'!B:B=F152),'26 WR'!C:C)</f>
        <v>Juwan Johnson</v>
      </c>
      <c r="E152" t="s">
        <v>28</v>
      </c>
      <c r="F152">
        <v>16</v>
      </c>
      <c r="G152">
        <v>127</v>
      </c>
      <c r="H152">
        <f>_xlfn.XLOOKUP($B152,'[1]FFPC TE'!$A$2:$A$46,'[1]FFPC TE'!B$2:B$46,,0)</f>
        <v>14.9</v>
      </c>
      <c r="I152">
        <f>_xlfn.XLOOKUP($B152,'[1]FFPC TE'!$A$2:$A$46,'[1]FFPC TE'!C$2:C$46,,0)</f>
        <v>0</v>
      </c>
      <c r="J152">
        <f>_xlfn.XLOOKUP($B152,'[1]FFPC TE'!$A$2:$A$46,'[1]FFPC TE'!D$2:D$46,,0)</f>
        <v>10.8</v>
      </c>
      <c r="K152">
        <f>_xlfn.XLOOKUP($B152,'[1]FFPC TE'!$A$2:$A$46,'[1]FFPC TE'!E$2:E$46,,0)</f>
        <v>21.7</v>
      </c>
      <c r="L152">
        <f>_xlfn.XLOOKUP($B152,'[1]FFPC TE'!$A$2:$A$46,'[1]FFPC TE'!F$2:F$46,,0)</f>
        <v>12.4</v>
      </c>
      <c r="M152">
        <f>_xlfn.XLOOKUP($B152,'[1]FFPC TE'!$A$2:$A$46,'[1]FFPC TE'!G$2:G$46,,0)</f>
        <v>30.5</v>
      </c>
      <c r="N152">
        <f>_xlfn.XLOOKUP($B152,'[1]FFPC TE'!$A$2:$A$46,'[1]FFPC TE'!H$2:H$46,,0)</f>
        <v>6.3</v>
      </c>
      <c r="O152">
        <f>_xlfn.XLOOKUP($B152,'[1]FFPC TE'!$A$2:$A$46,'[1]FFPC TE'!I$2:I$46,,0)</f>
        <v>19.3</v>
      </c>
      <c r="P152">
        <f>_xlfn.XLOOKUP($B152,'[1]FFPC TE'!$A$2:$A$46,'[1]FFPC TE'!J$2:J$46,,0)</f>
        <v>0</v>
      </c>
      <c r="Q152">
        <f>_xlfn.XLOOKUP($B152,'[1]FFPC TE'!$A$2:$A$46,'[1]FFPC TE'!K$2:K$46,,0)</f>
        <v>10.3</v>
      </c>
      <c r="R152">
        <f>_xlfn.XLOOKUP($B152,'[1]FFPC TE'!$A$2:$A$46,'[1]FFPC TE'!L$2:L$46,,0)</f>
        <v>5.4</v>
      </c>
      <c r="S152">
        <f>_xlfn.XLOOKUP($B152,'[1]FFPC TE'!$A$2:$A$46,'[1]FFPC TE'!M$2:M$46,,0)</f>
        <v>5</v>
      </c>
      <c r="T152">
        <f>_xlfn.XLOOKUP($B152,'[1]FFPC TE'!$A$2:$A$46,'[1]FFPC TE'!N$2:N$46,,0)</f>
        <v>5.7</v>
      </c>
      <c r="U152">
        <f>_xlfn.XLOOKUP($B152,'[1]FFPC TE'!$A$2:$A$46,'[1]FFPC TE'!O$2:O$46,,0)</f>
        <v>19.8</v>
      </c>
      <c r="V152">
        <f>_xlfn.XLOOKUP($B152,'[1]FFPC TE'!$A$2:$A$46,'[1]FFPC TE'!P$2:P$46,,0)</f>
        <v>28</v>
      </c>
      <c r="W152">
        <f>_xlfn.XLOOKUP($B152,'[1]FFPC TE'!$A$2:$A$46,'[1]FFPC TE'!Q$2:Q$46,,0)</f>
        <v>13.7</v>
      </c>
      <c r="X152">
        <f>_xlfn.XLOOKUP($B152,'[1]FFPC TE'!$A$2:$A$46,'[1]FFPC TE'!R$2:R$46,,0)</f>
        <v>11.3</v>
      </c>
      <c r="Y152">
        <f t="shared" si="2"/>
        <v>215.1</v>
      </c>
      <c r="Z152">
        <v>12.3</v>
      </c>
      <c r="AA152">
        <v>12</v>
      </c>
      <c r="AB152">
        <v>1</v>
      </c>
      <c r="AC152">
        <v>9</v>
      </c>
      <c r="AD152">
        <v>5</v>
      </c>
      <c r="AE152">
        <v>2</v>
      </c>
      <c r="AF152">
        <v>1</v>
      </c>
      <c r="AG152">
        <v>0</v>
      </c>
      <c r="AH152">
        <v>0.52941176470588236</v>
      </c>
      <c r="AI152">
        <v>0.33333333333333331</v>
      </c>
      <c r="AJ152">
        <v>0.13333333333333333</v>
      </c>
      <c r="AK152">
        <v>6.6666666666666666E-2</v>
      </c>
      <c r="AL152">
        <v>0</v>
      </c>
    </row>
    <row r="153" spans="1:38" x14ac:dyDescent="0.25">
      <c r="A153">
        <v>2025</v>
      </c>
      <c r="B153" t="s">
        <v>171</v>
      </c>
      <c r="C153" t="s">
        <v>80</v>
      </c>
      <c r="D153" t="str" cm="1">
        <f t="array" ref="D153">_xlfn.XLOOKUP(1,('26 WR'!A:A=E153)*('26 WR'!B:B=F153),'26 WR'!C:C)</f>
        <v>Oronde Gadsden II</v>
      </c>
      <c r="E153" t="s">
        <v>28</v>
      </c>
      <c r="F153">
        <v>17</v>
      </c>
      <c r="G153">
        <v>131</v>
      </c>
      <c r="H153">
        <f>_xlfn.XLOOKUP($B153,'[1]FFPC TE'!$A$2:$A$46,'[1]FFPC TE'!B$2:B$46,,0)</f>
        <v>13.1</v>
      </c>
      <c r="I153">
        <f>_xlfn.XLOOKUP($B153,'[1]FFPC TE'!$A$2:$A$46,'[1]FFPC TE'!C$2:C$46,,0)</f>
        <v>21.4</v>
      </c>
      <c r="J153">
        <f>_xlfn.XLOOKUP($B153,'[1]FFPC TE'!$A$2:$A$46,'[1]FFPC TE'!D$2:D$46,,0)</f>
        <v>8.3000000000000007</v>
      </c>
      <c r="K153">
        <f>_xlfn.XLOOKUP($B153,'[1]FFPC TE'!$A$2:$A$46,'[1]FFPC TE'!E$2:E$46,,0)</f>
        <v>5.0999999999999996</v>
      </c>
      <c r="L153">
        <f>_xlfn.XLOOKUP($B153,'[1]FFPC TE'!$A$2:$A$46,'[1]FFPC TE'!F$2:F$46,,0)</f>
        <v>0</v>
      </c>
      <c r="M153">
        <f>_xlfn.XLOOKUP($B153,'[1]FFPC TE'!$A$2:$A$46,'[1]FFPC TE'!G$2:G$46,,0)</f>
        <v>19.3</v>
      </c>
      <c r="N153">
        <f>_xlfn.XLOOKUP($B153,'[1]FFPC TE'!$A$2:$A$46,'[1]FFPC TE'!H$2:H$46,,0)</f>
        <v>14.2</v>
      </c>
      <c r="O153">
        <f>_xlfn.XLOOKUP($B153,'[1]FFPC TE'!$A$2:$A$46,'[1]FFPC TE'!I$2:I$46,,0)</f>
        <v>7.6</v>
      </c>
      <c r="P153">
        <f>_xlfn.XLOOKUP($B153,'[1]FFPC TE'!$A$2:$A$46,'[1]FFPC TE'!J$2:J$46,,0)</f>
        <v>10.600000000000001</v>
      </c>
      <c r="Q153">
        <f>_xlfn.XLOOKUP($B153,'[1]FFPC TE'!$A$2:$A$46,'[1]FFPC TE'!K$2:K$46,,0)</f>
        <v>11.4</v>
      </c>
      <c r="R153">
        <f>_xlfn.XLOOKUP($B153,'[1]FFPC TE'!$A$2:$A$46,'[1]FFPC TE'!L$2:L$46,,0)</f>
        <v>10.199999999999999</v>
      </c>
      <c r="S153">
        <f>_xlfn.XLOOKUP($B153,'[1]FFPC TE'!$A$2:$A$46,'[1]FFPC TE'!M$2:M$46,,0)</f>
        <v>0</v>
      </c>
      <c r="T153">
        <f>_xlfn.XLOOKUP($B153,'[1]FFPC TE'!$A$2:$A$46,'[1]FFPC TE'!N$2:N$46,,0)</f>
        <v>25.6</v>
      </c>
      <c r="U153">
        <f>_xlfn.XLOOKUP($B153,'[1]FFPC TE'!$A$2:$A$46,'[1]FFPC TE'!O$2:O$46,,0)</f>
        <v>2.6</v>
      </c>
      <c r="V153">
        <f>_xlfn.XLOOKUP($B153,'[1]FFPC TE'!$A$2:$A$46,'[1]FFPC TE'!P$2:P$46,,0)</f>
        <v>0</v>
      </c>
      <c r="W153">
        <f>_xlfn.XLOOKUP($B153,'[1]FFPC TE'!$A$2:$A$46,'[1]FFPC TE'!Q$2:Q$46,,0)</f>
        <v>0</v>
      </c>
      <c r="X153">
        <f>_xlfn.XLOOKUP($B153,'[1]FFPC TE'!$A$2:$A$46,'[1]FFPC TE'!R$2:R$46,,0)</f>
        <v>0</v>
      </c>
      <c r="Y153">
        <f t="shared" si="2"/>
        <v>149.4</v>
      </c>
      <c r="Z153">
        <v>9.6999999999999993</v>
      </c>
      <c r="AA153">
        <v>13</v>
      </c>
      <c r="AB153">
        <v>1</v>
      </c>
      <c r="AC153">
        <v>5</v>
      </c>
      <c r="AD153">
        <v>3</v>
      </c>
      <c r="AE153">
        <v>1</v>
      </c>
      <c r="AF153">
        <v>0</v>
      </c>
      <c r="AG153">
        <v>0</v>
      </c>
      <c r="AH153">
        <v>0.29411764705882354</v>
      </c>
      <c r="AI153">
        <v>0.23076923076923078</v>
      </c>
      <c r="AJ153">
        <v>7.6923076923076927E-2</v>
      </c>
      <c r="AK153">
        <v>0</v>
      </c>
      <c r="AL153">
        <v>0</v>
      </c>
    </row>
    <row r="154" spans="1:38" x14ac:dyDescent="0.25">
      <c r="A154">
        <v>2025</v>
      </c>
      <c r="B154" t="s">
        <v>173</v>
      </c>
      <c r="C154" t="s">
        <v>51</v>
      </c>
      <c r="D154" t="str" cm="1">
        <f t="array" ref="D154">_xlfn.XLOOKUP(1,('26 WR'!A:A=E154)*('26 WR'!B:B=F154),'26 WR'!C:C)</f>
        <v>Brenton Strange</v>
      </c>
      <c r="E154" t="s">
        <v>28</v>
      </c>
      <c r="F154">
        <v>18</v>
      </c>
      <c r="G154">
        <v>133</v>
      </c>
      <c r="H154">
        <f>_xlfn.XLOOKUP($B154,'[1]FFPC TE'!$A$2:$A$46,'[1]FFPC TE'!B$2:B$46,,0)</f>
        <v>11.9</v>
      </c>
      <c r="I154">
        <f>_xlfn.XLOOKUP($B154,'[1]FFPC TE'!$A$2:$A$46,'[1]FFPC TE'!C$2:C$46,,0)</f>
        <v>6.2</v>
      </c>
      <c r="J154">
        <f>_xlfn.XLOOKUP($B154,'[1]FFPC TE'!$A$2:$A$46,'[1]FFPC TE'!D$2:D$46,,0)</f>
        <v>15.100000000000001</v>
      </c>
      <c r="K154">
        <f>_xlfn.XLOOKUP($B154,'[1]FFPC TE'!$A$2:$A$46,'[1]FFPC TE'!E$2:E$46,,0)</f>
        <v>13.5</v>
      </c>
      <c r="L154">
        <f>_xlfn.XLOOKUP($B154,'[1]FFPC TE'!$A$2:$A$46,'[1]FFPC TE'!F$2:F$46,,0)</f>
        <v>3.7</v>
      </c>
      <c r="M154">
        <f>_xlfn.XLOOKUP($B154,'[1]FFPC TE'!$A$2:$A$46,'[1]FFPC TE'!G$2:G$46,,0)</f>
        <v>0</v>
      </c>
      <c r="N154">
        <f>_xlfn.XLOOKUP($B154,'[1]FFPC TE'!$A$2:$A$46,'[1]FFPC TE'!H$2:H$46,,0)</f>
        <v>0</v>
      </c>
      <c r="O154">
        <f>_xlfn.XLOOKUP($B154,'[1]FFPC TE'!$A$2:$A$46,'[1]FFPC TE'!I$2:I$46,,0)</f>
        <v>0</v>
      </c>
      <c r="P154">
        <f>_xlfn.XLOOKUP($B154,'[1]FFPC TE'!$A$2:$A$46,'[1]FFPC TE'!J$2:J$46,,0)</f>
        <v>0</v>
      </c>
      <c r="Q154">
        <f>_xlfn.XLOOKUP($B154,'[1]FFPC TE'!$A$2:$A$46,'[1]FFPC TE'!K$2:K$46,,0)</f>
        <v>0</v>
      </c>
      <c r="R154">
        <f>_xlfn.XLOOKUP($B154,'[1]FFPC TE'!$A$2:$A$46,'[1]FFPC TE'!L$2:L$46,,0)</f>
        <v>0</v>
      </c>
      <c r="S154">
        <f>_xlfn.XLOOKUP($B154,'[1]FFPC TE'!$A$2:$A$46,'[1]FFPC TE'!M$2:M$46,,0)</f>
        <v>16.8</v>
      </c>
      <c r="T154">
        <f>_xlfn.XLOOKUP($B154,'[1]FFPC TE'!$A$2:$A$46,'[1]FFPC TE'!N$2:N$46,,0)</f>
        <v>15</v>
      </c>
      <c r="U154">
        <f>_xlfn.XLOOKUP($B154,'[1]FFPC TE'!$A$2:$A$46,'[1]FFPC TE'!O$2:O$46,,0)</f>
        <v>7.2</v>
      </c>
      <c r="V154">
        <f>_xlfn.XLOOKUP($B154,'[1]FFPC TE'!$A$2:$A$46,'[1]FFPC TE'!P$2:P$46,,0)</f>
        <v>4.0999999999999996</v>
      </c>
      <c r="W154">
        <f>_xlfn.XLOOKUP($B154,'[1]FFPC TE'!$A$2:$A$46,'[1]FFPC TE'!Q$2:Q$46,,0)</f>
        <v>17.399999999999999</v>
      </c>
      <c r="X154">
        <f>_xlfn.XLOOKUP($B154,'[1]FFPC TE'!$A$2:$A$46,'[1]FFPC TE'!R$2:R$46,,0)</f>
        <v>9.9</v>
      </c>
      <c r="Y154">
        <f t="shared" si="2"/>
        <v>120.80000000000001</v>
      </c>
      <c r="Z154">
        <v>9.8000000000000007</v>
      </c>
      <c r="AA154">
        <v>13</v>
      </c>
      <c r="AB154">
        <v>1</v>
      </c>
      <c r="AC154">
        <v>6</v>
      </c>
      <c r="AD154">
        <v>1</v>
      </c>
      <c r="AE154">
        <v>0</v>
      </c>
      <c r="AF154">
        <v>0</v>
      </c>
      <c r="AG154">
        <v>0</v>
      </c>
      <c r="AH154">
        <v>0.35294117647058826</v>
      </c>
      <c r="AI154">
        <v>8.3333333333333329E-2</v>
      </c>
      <c r="AJ154">
        <v>0</v>
      </c>
      <c r="AK154">
        <v>0</v>
      </c>
      <c r="AL154">
        <v>0</v>
      </c>
    </row>
    <row r="155" spans="1:38" x14ac:dyDescent="0.25">
      <c r="A155">
        <v>2025</v>
      </c>
      <c r="B155" t="s">
        <v>174</v>
      </c>
      <c r="C155" t="s">
        <v>78</v>
      </c>
      <c r="D155" t="str" cm="1">
        <f t="array" ref="D155">_xlfn.XLOOKUP(1,('26 WR'!A:A=E155)*('26 WR'!B:B=F155),'26 WR'!C:C)</f>
        <v>Hunter Henry</v>
      </c>
      <c r="E155" t="s">
        <v>28</v>
      </c>
      <c r="F155">
        <v>19</v>
      </c>
      <c r="G155">
        <v>134</v>
      </c>
      <c r="H155">
        <f>_xlfn.XLOOKUP($B155,'[1]FFPC TE'!$A$2:$A$46,'[1]FFPC TE'!B$2:B$46,,0)</f>
        <v>12.600000000000001</v>
      </c>
      <c r="I155">
        <f>_xlfn.XLOOKUP($B155,'[1]FFPC TE'!$A$2:$A$46,'[1]FFPC TE'!C$2:C$46,,0)</f>
        <v>2.4</v>
      </c>
      <c r="J155">
        <f>_xlfn.XLOOKUP($B155,'[1]FFPC TE'!$A$2:$A$46,'[1]FFPC TE'!D$2:D$46,,0)</f>
        <v>33</v>
      </c>
      <c r="K155">
        <f>_xlfn.XLOOKUP($B155,'[1]FFPC TE'!$A$2:$A$46,'[1]FFPC TE'!E$2:E$46,,0)</f>
        <v>12.9</v>
      </c>
      <c r="L155">
        <f>_xlfn.XLOOKUP($B155,'[1]FFPC TE'!$A$2:$A$46,'[1]FFPC TE'!F$2:F$46,,0)</f>
        <v>7.6000000000000005</v>
      </c>
      <c r="M155">
        <f>_xlfn.XLOOKUP($B155,'[1]FFPC TE'!$A$2:$A$46,'[1]FFPC TE'!G$2:G$46,,0)</f>
        <v>7.2</v>
      </c>
      <c r="N155">
        <f>_xlfn.XLOOKUP($B155,'[1]FFPC TE'!$A$2:$A$46,'[1]FFPC TE'!H$2:H$46,,0)</f>
        <v>9.3000000000000007</v>
      </c>
      <c r="O155">
        <f>_xlfn.XLOOKUP($B155,'[1]FFPC TE'!$A$2:$A$46,'[1]FFPC TE'!I$2:I$46,,0)</f>
        <v>8.1999999999999993</v>
      </c>
      <c r="P155">
        <f>_xlfn.XLOOKUP($B155,'[1]FFPC TE'!$A$2:$A$46,'[1]FFPC TE'!J$2:J$46,,0)</f>
        <v>11.100000000000001</v>
      </c>
      <c r="Q155">
        <f>_xlfn.XLOOKUP($B155,'[1]FFPC TE'!$A$2:$A$46,'[1]FFPC TE'!K$2:K$46,,0)</f>
        <v>2.4</v>
      </c>
      <c r="R155">
        <f>_xlfn.XLOOKUP($B155,'[1]FFPC TE'!$A$2:$A$46,'[1]FFPC TE'!L$2:L$46,,0)</f>
        <v>10.5</v>
      </c>
      <c r="S155">
        <f>_xlfn.XLOOKUP($B155,'[1]FFPC TE'!$A$2:$A$46,'[1]FFPC TE'!M$2:M$46,,0)</f>
        <v>28</v>
      </c>
      <c r="T155">
        <f>_xlfn.XLOOKUP($B155,'[1]FFPC TE'!$A$2:$A$46,'[1]FFPC TE'!N$2:N$46,,0)</f>
        <v>13.3</v>
      </c>
      <c r="U155">
        <f>_xlfn.XLOOKUP($B155,'[1]FFPC TE'!$A$2:$A$46,'[1]FFPC TE'!O$2:O$46,,0)</f>
        <v>0</v>
      </c>
      <c r="V155">
        <f>_xlfn.XLOOKUP($B155,'[1]FFPC TE'!$A$2:$A$46,'[1]FFPC TE'!P$2:P$46,,0)</f>
        <v>3.3</v>
      </c>
      <c r="W155">
        <f>_xlfn.XLOOKUP($B155,'[1]FFPC TE'!$A$2:$A$46,'[1]FFPC TE'!Q$2:Q$46,,0)</f>
        <v>18.5</v>
      </c>
      <c r="X155">
        <f>_xlfn.XLOOKUP($B155,'[1]FFPC TE'!$A$2:$A$46,'[1]FFPC TE'!R$2:R$46,,0)</f>
        <v>15.4</v>
      </c>
      <c r="Y155">
        <f t="shared" si="2"/>
        <v>195.70000000000005</v>
      </c>
      <c r="Z155">
        <v>10.5</v>
      </c>
      <c r="AA155">
        <v>14</v>
      </c>
      <c r="AB155">
        <v>1</v>
      </c>
      <c r="AC155">
        <v>8</v>
      </c>
      <c r="AD155">
        <v>3</v>
      </c>
      <c r="AE155">
        <v>2</v>
      </c>
      <c r="AF155">
        <v>1</v>
      </c>
      <c r="AG155">
        <v>0</v>
      </c>
      <c r="AH155">
        <v>0.47058823529411764</v>
      </c>
      <c r="AI155">
        <v>0.17647058823529413</v>
      </c>
      <c r="AJ155">
        <v>0.11764705882352941</v>
      </c>
      <c r="AK155">
        <v>5.8823529411764705E-2</v>
      </c>
      <c r="AL155">
        <v>0</v>
      </c>
    </row>
    <row r="156" spans="1:38" x14ac:dyDescent="0.25">
      <c r="A156">
        <v>2025</v>
      </c>
      <c r="B156" t="s">
        <v>176</v>
      </c>
      <c r="C156" t="s">
        <v>114</v>
      </c>
      <c r="D156" t="str" cm="1">
        <f t="array" ref="D156">_xlfn.XLOOKUP(1,('26 WR'!A:A=E156)*('26 WR'!B:B=F156),'26 WR'!C:C)</f>
        <v>Chig Okonkwo</v>
      </c>
      <c r="E156" t="s">
        <v>28</v>
      </c>
      <c r="F156">
        <v>20</v>
      </c>
      <c r="G156">
        <v>136</v>
      </c>
      <c r="H156">
        <f>_xlfn.XLOOKUP($B156,'[1]FFPC TE'!$A$2:$A$46,'[1]FFPC TE'!B$2:B$46,,0)</f>
        <v>6.4</v>
      </c>
      <c r="I156">
        <f>_xlfn.XLOOKUP($B156,'[1]FFPC TE'!$A$2:$A$46,'[1]FFPC TE'!C$2:C$46,,0)</f>
        <v>9.5</v>
      </c>
      <c r="J156">
        <f>_xlfn.XLOOKUP($B156,'[1]FFPC TE'!$A$2:$A$46,'[1]FFPC TE'!D$2:D$46,,0)</f>
        <v>14.100000000000001</v>
      </c>
      <c r="K156">
        <f>_xlfn.XLOOKUP($B156,'[1]FFPC TE'!$A$2:$A$46,'[1]FFPC TE'!E$2:E$46,,0)</f>
        <v>1.9</v>
      </c>
      <c r="L156">
        <f>_xlfn.XLOOKUP($B156,'[1]FFPC TE'!$A$2:$A$46,'[1]FFPC TE'!F$2:F$46,,0)</f>
        <v>10.8</v>
      </c>
      <c r="M156">
        <f>_xlfn.XLOOKUP($B156,'[1]FFPC TE'!$A$2:$A$46,'[1]FFPC TE'!G$2:G$46,,0)</f>
        <v>13.600000000000001</v>
      </c>
      <c r="N156">
        <f>_xlfn.XLOOKUP($B156,'[1]FFPC TE'!$A$2:$A$46,'[1]FFPC TE'!H$2:H$46,,0)</f>
        <v>0</v>
      </c>
      <c r="O156">
        <f>_xlfn.XLOOKUP($B156,'[1]FFPC TE'!$A$2:$A$46,'[1]FFPC TE'!I$2:I$46,,0)</f>
        <v>11.3</v>
      </c>
      <c r="P156">
        <f>_xlfn.XLOOKUP($B156,'[1]FFPC TE'!$A$2:$A$46,'[1]FFPC TE'!J$2:J$46,,0)</f>
        <v>4</v>
      </c>
      <c r="Q156">
        <f>_xlfn.XLOOKUP($B156,'[1]FFPC TE'!$A$2:$A$46,'[1]FFPC TE'!K$2:K$46,,0)</f>
        <v>0</v>
      </c>
      <c r="R156">
        <f>_xlfn.XLOOKUP($B156,'[1]FFPC TE'!$A$2:$A$46,'[1]FFPC TE'!L$2:L$46,,0)</f>
        <v>10.100000000000001</v>
      </c>
      <c r="S156">
        <f>_xlfn.XLOOKUP($B156,'[1]FFPC TE'!$A$2:$A$46,'[1]FFPC TE'!M$2:M$46,,0)</f>
        <v>8.5</v>
      </c>
      <c r="T156">
        <f>_xlfn.XLOOKUP($B156,'[1]FFPC TE'!$A$2:$A$46,'[1]FFPC TE'!N$2:N$46,,0)</f>
        <v>8.9</v>
      </c>
      <c r="U156">
        <f>_xlfn.XLOOKUP($B156,'[1]FFPC TE'!$A$2:$A$46,'[1]FFPC TE'!O$2:O$46,,0)</f>
        <v>5</v>
      </c>
      <c r="V156">
        <f>_xlfn.XLOOKUP($B156,'[1]FFPC TE'!$A$2:$A$46,'[1]FFPC TE'!P$2:P$46,,0)</f>
        <v>9.3000000000000007</v>
      </c>
      <c r="W156">
        <f>_xlfn.XLOOKUP($B156,'[1]FFPC TE'!$A$2:$A$46,'[1]FFPC TE'!Q$2:Q$46,,0)</f>
        <v>19.399999999999999</v>
      </c>
      <c r="X156">
        <f>_xlfn.XLOOKUP($B156,'[1]FFPC TE'!$A$2:$A$46,'[1]FFPC TE'!R$2:R$46,,0)</f>
        <v>16</v>
      </c>
      <c r="Y156">
        <f t="shared" si="2"/>
        <v>148.80000000000001</v>
      </c>
      <c r="Z156">
        <v>7.3</v>
      </c>
      <c r="AA156">
        <v>15</v>
      </c>
      <c r="AB156">
        <v>1</v>
      </c>
      <c r="AC156">
        <v>4</v>
      </c>
      <c r="AD156">
        <v>1</v>
      </c>
      <c r="AE156">
        <v>0</v>
      </c>
      <c r="AF156">
        <v>0</v>
      </c>
      <c r="AG156">
        <v>0</v>
      </c>
      <c r="AH156">
        <v>0.23529411764705882</v>
      </c>
      <c r="AI156">
        <v>5.8823529411764705E-2</v>
      </c>
      <c r="AJ156">
        <v>0</v>
      </c>
      <c r="AK156">
        <v>0</v>
      </c>
      <c r="AL156">
        <v>0</v>
      </c>
    </row>
    <row r="157" spans="1:38" x14ac:dyDescent="0.25">
      <c r="A157">
        <v>2025</v>
      </c>
      <c r="B157" t="s">
        <v>179</v>
      </c>
      <c r="C157" t="s">
        <v>41</v>
      </c>
      <c r="D157" t="str" cm="1">
        <f t="array" ref="D157">_xlfn.XLOOKUP(1,('26 WR'!A:A=E157)*('26 WR'!B:B=F157),'26 WR'!C:C)</f>
        <v>Dalton Schultz</v>
      </c>
      <c r="E157" t="s">
        <v>28</v>
      </c>
      <c r="F157">
        <v>21</v>
      </c>
      <c r="G157">
        <v>139</v>
      </c>
      <c r="H157">
        <f>_xlfn.XLOOKUP($B157,'[1]FFPC TE'!$A$2:$A$46,'[1]FFPC TE'!B$2:B$46,,0)</f>
        <v>0</v>
      </c>
      <c r="I157">
        <f>_xlfn.XLOOKUP($B157,'[1]FFPC TE'!$A$2:$A$46,'[1]FFPC TE'!C$2:C$46,,0)</f>
        <v>0</v>
      </c>
      <c r="J157">
        <f>_xlfn.XLOOKUP($B157,'[1]FFPC TE'!$A$2:$A$46,'[1]FFPC TE'!D$2:D$46,,0)</f>
        <v>0</v>
      </c>
      <c r="K157">
        <f>_xlfn.XLOOKUP($B157,'[1]FFPC TE'!$A$2:$A$46,'[1]FFPC TE'!E$2:E$46,,0)</f>
        <v>0</v>
      </c>
      <c r="L157">
        <f>_xlfn.XLOOKUP($B157,'[1]FFPC TE'!$A$2:$A$46,'[1]FFPC TE'!F$2:F$46,,0)</f>
        <v>2.7</v>
      </c>
      <c r="M157">
        <f>_xlfn.XLOOKUP($B157,'[1]FFPC TE'!$A$2:$A$46,'[1]FFPC TE'!G$2:G$46,,0)</f>
        <v>3.6</v>
      </c>
      <c r="N157">
        <f>_xlfn.XLOOKUP($B157,'[1]FFPC TE'!$A$2:$A$46,'[1]FFPC TE'!H$2:H$46,,0)</f>
        <v>0</v>
      </c>
      <c r="O157">
        <f>_xlfn.XLOOKUP($B157,'[1]FFPC TE'!$A$2:$A$46,'[1]FFPC TE'!I$2:I$46,,0)</f>
        <v>3.8</v>
      </c>
      <c r="P157">
        <f>_xlfn.XLOOKUP($B157,'[1]FFPC TE'!$A$2:$A$46,'[1]FFPC TE'!J$2:J$46,,0)</f>
        <v>10.5</v>
      </c>
      <c r="Q157">
        <f>_xlfn.XLOOKUP($B157,'[1]FFPC TE'!$A$2:$A$46,'[1]FFPC TE'!K$2:K$46,,0)</f>
        <v>4.7</v>
      </c>
      <c r="R157">
        <f>_xlfn.XLOOKUP($B157,'[1]FFPC TE'!$A$2:$A$46,'[1]FFPC TE'!L$2:L$46,,0)</f>
        <v>4.5</v>
      </c>
      <c r="S157">
        <f>_xlfn.XLOOKUP($B157,'[1]FFPC TE'!$A$2:$A$46,'[1]FFPC TE'!M$2:M$46,,0)</f>
        <v>2.5</v>
      </c>
      <c r="T157">
        <f>_xlfn.XLOOKUP($B157,'[1]FFPC TE'!$A$2:$A$46,'[1]FFPC TE'!N$2:N$46,,0)</f>
        <v>17</v>
      </c>
      <c r="U157">
        <f>_xlfn.XLOOKUP($B157,'[1]FFPC TE'!$A$2:$A$46,'[1]FFPC TE'!O$2:O$46,,0)</f>
        <v>14.5</v>
      </c>
      <c r="V157">
        <f>_xlfn.XLOOKUP($B157,'[1]FFPC TE'!$A$2:$A$46,'[1]FFPC TE'!P$2:P$46,,0)</f>
        <v>0</v>
      </c>
      <c r="W157">
        <f>_xlfn.XLOOKUP($B157,'[1]FFPC TE'!$A$2:$A$46,'[1]FFPC TE'!Q$2:Q$46,,0)</f>
        <v>0</v>
      </c>
      <c r="X157">
        <f>_xlfn.XLOOKUP($B157,'[1]FFPC TE'!$A$2:$A$46,'[1]FFPC TE'!R$2:R$46,,0)</f>
        <v>7.2</v>
      </c>
      <c r="Y157">
        <f t="shared" si="2"/>
        <v>71</v>
      </c>
      <c r="Z157">
        <v>4.4000000000000004</v>
      </c>
      <c r="AA157">
        <v>15</v>
      </c>
      <c r="AB157">
        <v>1</v>
      </c>
      <c r="AC157">
        <v>2</v>
      </c>
      <c r="AD157">
        <v>0</v>
      </c>
      <c r="AE157">
        <v>0</v>
      </c>
      <c r="AF157">
        <v>0</v>
      </c>
      <c r="AG157">
        <v>0</v>
      </c>
      <c r="AH157">
        <v>0.11764705882352941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2025</v>
      </c>
      <c r="B158" t="s">
        <v>181</v>
      </c>
      <c r="C158" t="s">
        <v>108</v>
      </c>
      <c r="D158" t="str" cm="1">
        <f t="array" ref="D158">_xlfn.XLOOKUP(1,('26 WR'!A:A=E158)*('26 WR'!B:B=F158),'26 WR'!C:C)</f>
        <v>T.J. Hockenson</v>
      </c>
      <c r="E158" t="s">
        <v>28</v>
      </c>
      <c r="F158">
        <v>22</v>
      </c>
      <c r="G158">
        <v>142</v>
      </c>
      <c r="H158">
        <f>_xlfn.XLOOKUP($B158,'[1]FFPC TE'!$A$2:$A$46,'[1]FFPC TE'!B$2:B$46,,0)</f>
        <v>15</v>
      </c>
      <c r="I158">
        <f>_xlfn.XLOOKUP($B158,'[1]FFPC TE'!$A$2:$A$46,'[1]FFPC TE'!C$2:C$46,,0)</f>
        <v>8.6999999999999993</v>
      </c>
      <c r="J158">
        <f>_xlfn.XLOOKUP($B158,'[1]FFPC TE'!$A$2:$A$46,'[1]FFPC TE'!D$2:D$46,,0)</f>
        <v>6.8000000000000007</v>
      </c>
      <c r="K158">
        <f>_xlfn.XLOOKUP($B158,'[1]FFPC TE'!$A$2:$A$46,'[1]FFPC TE'!E$2:E$46,,0)</f>
        <v>3.6</v>
      </c>
      <c r="L158">
        <f>_xlfn.XLOOKUP($B158,'[1]FFPC TE'!$A$2:$A$46,'[1]FFPC TE'!F$2:F$46,,0)</f>
        <v>0</v>
      </c>
      <c r="M158">
        <f>_xlfn.XLOOKUP($B158,'[1]FFPC TE'!$A$2:$A$46,'[1]FFPC TE'!G$2:G$46,,0)</f>
        <v>6.3</v>
      </c>
      <c r="N158">
        <f>_xlfn.XLOOKUP($B158,'[1]FFPC TE'!$A$2:$A$46,'[1]FFPC TE'!H$2:H$46,,0)</f>
        <v>13.3</v>
      </c>
      <c r="O158">
        <f>_xlfn.XLOOKUP($B158,'[1]FFPC TE'!$A$2:$A$46,'[1]FFPC TE'!I$2:I$46,,0)</f>
        <v>4.7</v>
      </c>
      <c r="P158">
        <f>_xlfn.XLOOKUP($B158,'[1]FFPC TE'!$A$2:$A$46,'[1]FFPC TE'!J$2:J$46,,0)</f>
        <v>7</v>
      </c>
      <c r="Q158">
        <f>_xlfn.XLOOKUP($B158,'[1]FFPC TE'!$A$2:$A$46,'[1]FFPC TE'!K$2:K$46,,0)</f>
        <v>1.9</v>
      </c>
      <c r="R158">
        <f>_xlfn.XLOOKUP($B158,'[1]FFPC TE'!$A$2:$A$46,'[1]FFPC TE'!L$2:L$46,,0)</f>
        <v>0</v>
      </c>
      <c r="S158">
        <f>_xlfn.XLOOKUP($B158,'[1]FFPC TE'!$A$2:$A$46,'[1]FFPC TE'!M$2:M$46,,0)</f>
        <v>6.6</v>
      </c>
      <c r="T158">
        <f>_xlfn.XLOOKUP($B158,'[1]FFPC TE'!$A$2:$A$46,'[1]FFPC TE'!N$2:N$46,,0)</f>
        <v>2.1</v>
      </c>
      <c r="U158">
        <f>_xlfn.XLOOKUP($B158,'[1]FFPC TE'!$A$2:$A$46,'[1]FFPC TE'!O$2:O$46,,0)</f>
        <v>0</v>
      </c>
      <c r="V158">
        <f>_xlfn.XLOOKUP($B158,'[1]FFPC TE'!$A$2:$A$46,'[1]FFPC TE'!P$2:P$46,,0)</f>
        <v>4.2</v>
      </c>
      <c r="W158">
        <f>_xlfn.XLOOKUP($B158,'[1]FFPC TE'!$A$2:$A$46,'[1]FFPC TE'!Q$2:Q$46,,0)</f>
        <v>0</v>
      </c>
      <c r="X158">
        <f>_xlfn.XLOOKUP($B158,'[1]FFPC TE'!$A$2:$A$46,'[1]FFPC TE'!R$2:R$46,,0)</f>
        <v>9.3000000000000007</v>
      </c>
      <c r="Y158">
        <f t="shared" si="2"/>
        <v>89.5</v>
      </c>
      <c r="Z158">
        <v>5</v>
      </c>
      <c r="AA158">
        <v>15</v>
      </c>
      <c r="AB158">
        <v>1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0.17647058823529413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2025</v>
      </c>
      <c r="B159" t="s">
        <v>182</v>
      </c>
      <c r="C159" t="s">
        <v>90</v>
      </c>
      <c r="D159" t="str" cm="1">
        <f t="array" ref="D159">_xlfn.XLOOKUP(1,('26 WR'!A:A=E159)*('26 WR'!B:B=F159),'26 WR'!C:C)</f>
        <v>Kenyon Sadiq</v>
      </c>
      <c r="E159" t="s">
        <v>28</v>
      </c>
      <c r="F159">
        <v>23</v>
      </c>
      <c r="G159">
        <v>143</v>
      </c>
      <c r="H159">
        <f>_xlfn.XLOOKUP($B159,'[1]FFPC TE'!$A$2:$A$46,'[1]FFPC TE'!B$2:B$46,,0)</f>
        <v>3.5</v>
      </c>
      <c r="I159">
        <f>_xlfn.XLOOKUP($B159,'[1]FFPC TE'!$A$2:$A$46,'[1]FFPC TE'!C$2:C$46,,0)</f>
        <v>2</v>
      </c>
      <c r="J159">
        <f>_xlfn.XLOOKUP($B159,'[1]FFPC TE'!$A$2:$A$46,'[1]FFPC TE'!D$2:D$46,,0)</f>
        <v>7.8</v>
      </c>
      <c r="K159">
        <f>_xlfn.XLOOKUP($B159,'[1]FFPC TE'!$A$2:$A$46,'[1]FFPC TE'!E$2:E$46,,0)</f>
        <v>14</v>
      </c>
      <c r="L159">
        <f>_xlfn.XLOOKUP($B159,'[1]FFPC TE'!$A$2:$A$46,'[1]FFPC TE'!F$2:F$46,,0)</f>
        <v>20.2</v>
      </c>
      <c r="M159">
        <f>_xlfn.XLOOKUP($B159,'[1]FFPC TE'!$A$2:$A$46,'[1]FFPC TE'!G$2:G$46,,0)</f>
        <v>1.7</v>
      </c>
      <c r="N159">
        <f>_xlfn.XLOOKUP($B159,'[1]FFPC TE'!$A$2:$A$46,'[1]FFPC TE'!H$2:H$46,,0)</f>
        <v>7.6</v>
      </c>
      <c r="O159">
        <f>_xlfn.XLOOKUP($B159,'[1]FFPC TE'!$A$2:$A$46,'[1]FFPC TE'!I$2:I$46,,0)</f>
        <v>16.899999999999999</v>
      </c>
      <c r="P159">
        <f>_xlfn.XLOOKUP($B159,'[1]FFPC TE'!$A$2:$A$46,'[1]FFPC TE'!J$2:J$46,,0)</f>
        <v>0</v>
      </c>
      <c r="Q159">
        <f>_xlfn.XLOOKUP($B159,'[1]FFPC TE'!$A$2:$A$46,'[1]FFPC TE'!K$2:K$46,,0)</f>
        <v>1.9</v>
      </c>
      <c r="R159">
        <f>_xlfn.XLOOKUP($B159,'[1]FFPC TE'!$A$2:$A$46,'[1]FFPC TE'!L$2:L$46,,0)</f>
        <v>9</v>
      </c>
      <c r="S159">
        <f>_xlfn.XLOOKUP($B159,'[1]FFPC TE'!$A$2:$A$46,'[1]FFPC TE'!M$2:M$46,,0)</f>
        <v>6.6</v>
      </c>
      <c r="T159">
        <f>_xlfn.XLOOKUP($B159,'[1]FFPC TE'!$A$2:$A$46,'[1]FFPC TE'!N$2:N$46,,0)</f>
        <v>5.0999999999999996</v>
      </c>
      <c r="U159">
        <f>_xlfn.XLOOKUP($B159,'[1]FFPC TE'!$A$2:$A$46,'[1]FFPC TE'!O$2:O$46,,0)</f>
        <v>12.600000000000001</v>
      </c>
      <c r="V159">
        <f>_xlfn.XLOOKUP($B159,'[1]FFPC TE'!$A$2:$A$46,'[1]FFPC TE'!P$2:P$46,,0)</f>
        <v>0</v>
      </c>
      <c r="W159">
        <f>_xlfn.XLOOKUP($B159,'[1]FFPC TE'!$A$2:$A$46,'[1]FFPC TE'!Q$2:Q$46,,0)</f>
        <v>0</v>
      </c>
      <c r="X159">
        <f>_xlfn.XLOOKUP($B159,'[1]FFPC TE'!$A$2:$A$46,'[1]FFPC TE'!R$2:R$46,,0)</f>
        <v>0</v>
      </c>
      <c r="Y159">
        <f t="shared" si="2"/>
        <v>108.9</v>
      </c>
      <c r="Z159">
        <v>6.8</v>
      </c>
      <c r="AA159">
        <v>16</v>
      </c>
      <c r="AB159">
        <v>1</v>
      </c>
      <c r="AC159">
        <v>4</v>
      </c>
      <c r="AD159">
        <v>1</v>
      </c>
      <c r="AE159">
        <v>0</v>
      </c>
      <c r="AF159">
        <v>0</v>
      </c>
      <c r="AG159">
        <v>0</v>
      </c>
      <c r="AH159">
        <v>0.23529411764705882</v>
      </c>
      <c r="AI159">
        <v>7.6923076923076927E-2</v>
      </c>
      <c r="AJ159">
        <v>0</v>
      </c>
      <c r="AK159">
        <v>0</v>
      </c>
      <c r="AL159">
        <v>0</v>
      </c>
    </row>
    <row r="160" spans="1:38" x14ac:dyDescent="0.25">
      <c r="A160">
        <v>2025</v>
      </c>
      <c r="B160" t="s">
        <v>189</v>
      </c>
      <c r="C160" t="s">
        <v>57</v>
      </c>
      <c r="D160" t="str" cm="1">
        <f t="array" ref="D160">_xlfn.XLOOKUP(1,('26 WR'!A:A=E160)*('26 WR'!B:B=F160),'26 WR'!C:C)</f>
        <v>AJ Barner</v>
      </c>
      <c r="E160" t="s">
        <v>28</v>
      </c>
      <c r="F160">
        <v>24</v>
      </c>
      <c r="G160">
        <v>148</v>
      </c>
      <c r="H160">
        <f>_xlfn.XLOOKUP($B160,'[1]FFPC TE'!$A$2:$A$46,'[1]FFPC TE'!B$2:B$46,,0)</f>
        <v>0</v>
      </c>
      <c r="I160">
        <f>_xlfn.XLOOKUP($B160,'[1]FFPC TE'!$A$2:$A$46,'[1]FFPC TE'!C$2:C$46,,0)</f>
        <v>7</v>
      </c>
      <c r="J160">
        <f>_xlfn.XLOOKUP($B160,'[1]FFPC TE'!$A$2:$A$46,'[1]FFPC TE'!D$2:D$46,,0)</f>
        <v>0</v>
      </c>
      <c r="K160">
        <f>_xlfn.XLOOKUP($B160,'[1]FFPC TE'!$A$2:$A$46,'[1]FFPC TE'!E$2:E$46,,0)</f>
        <v>5.4</v>
      </c>
      <c r="L160">
        <f>_xlfn.XLOOKUP($B160,'[1]FFPC TE'!$A$2:$A$46,'[1]FFPC TE'!F$2:F$46,,0)</f>
        <v>14.1</v>
      </c>
      <c r="M160">
        <f>_xlfn.XLOOKUP($B160,'[1]FFPC TE'!$A$2:$A$46,'[1]FFPC TE'!G$2:G$46,,0)</f>
        <v>12.600000000000001</v>
      </c>
      <c r="N160">
        <f>_xlfn.XLOOKUP($B160,'[1]FFPC TE'!$A$2:$A$46,'[1]FFPC TE'!H$2:H$46,,0)</f>
        <v>17</v>
      </c>
      <c r="O160">
        <f>_xlfn.XLOOKUP($B160,'[1]FFPC TE'!$A$2:$A$46,'[1]FFPC TE'!I$2:I$46,,0)</f>
        <v>10</v>
      </c>
      <c r="P160">
        <f>_xlfn.XLOOKUP($B160,'[1]FFPC TE'!$A$2:$A$46,'[1]FFPC TE'!J$2:J$46,,0)</f>
        <v>0</v>
      </c>
      <c r="Q160">
        <f>_xlfn.XLOOKUP($B160,'[1]FFPC TE'!$A$2:$A$46,'[1]FFPC TE'!K$2:K$46,,0)</f>
        <v>21.700000000000003</v>
      </c>
      <c r="R160">
        <f>_xlfn.XLOOKUP($B160,'[1]FFPC TE'!$A$2:$A$46,'[1]FFPC TE'!L$2:L$46,,0)</f>
        <v>5.8000000000000007</v>
      </c>
      <c r="S160">
        <f>_xlfn.XLOOKUP($B160,'[1]FFPC TE'!$A$2:$A$46,'[1]FFPC TE'!M$2:M$46,,0)</f>
        <v>8.1</v>
      </c>
      <c r="T160">
        <f>_xlfn.XLOOKUP($B160,'[1]FFPC TE'!$A$2:$A$46,'[1]FFPC TE'!N$2:N$46,,0)</f>
        <v>3.9</v>
      </c>
      <c r="U160">
        <f>_xlfn.XLOOKUP($B160,'[1]FFPC TE'!$A$2:$A$46,'[1]FFPC TE'!O$2:O$46,,0)</f>
        <v>6.4</v>
      </c>
      <c r="V160">
        <f>_xlfn.XLOOKUP($B160,'[1]FFPC TE'!$A$2:$A$46,'[1]FFPC TE'!P$2:P$46,,0)</f>
        <v>0</v>
      </c>
      <c r="W160">
        <f>_xlfn.XLOOKUP($B160,'[1]FFPC TE'!$A$2:$A$46,'[1]FFPC TE'!Q$2:Q$46,,0)</f>
        <v>4.5</v>
      </c>
      <c r="X160">
        <f>_xlfn.XLOOKUP($B160,'[1]FFPC TE'!$A$2:$A$46,'[1]FFPC TE'!R$2:R$46,,0)</f>
        <v>9.3000000000000007</v>
      </c>
      <c r="Y160">
        <f t="shared" si="2"/>
        <v>125.8</v>
      </c>
      <c r="Z160">
        <v>7.6</v>
      </c>
      <c r="AA160">
        <v>16</v>
      </c>
      <c r="AB160">
        <v>1</v>
      </c>
      <c r="AC160">
        <v>5</v>
      </c>
      <c r="AD160">
        <v>2</v>
      </c>
      <c r="AE160">
        <v>1</v>
      </c>
      <c r="AF160">
        <v>0</v>
      </c>
      <c r="AG160">
        <v>0</v>
      </c>
      <c r="AH160">
        <v>0.29411764705882354</v>
      </c>
      <c r="AI160">
        <v>0.125</v>
      </c>
      <c r="AJ160">
        <v>6.25E-2</v>
      </c>
      <c r="AK160">
        <v>0</v>
      </c>
      <c r="AL160">
        <v>0</v>
      </c>
    </row>
    <row r="161" spans="1:38" x14ac:dyDescent="0.25">
      <c r="A161">
        <v>2025</v>
      </c>
      <c r="B161" t="s">
        <v>200</v>
      </c>
      <c r="C161" t="s">
        <v>21</v>
      </c>
      <c r="D161" t="str" cm="1">
        <f t="array" ref="D161">_xlfn.XLOOKUP(1,('26 WR'!A:A=E161)*('26 WR'!B:B=F161),'26 WR'!C:C)</f>
        <v>Gunnar Helm</v>
      </c>
      <c r="E161" t="s">
        <v>28</v>
      </c>
      <c r="F161">
        <v>25</v>
      </c>
      <c r="G161">
        <v>158</v>
      </c>
      <c r="H161">
        <f>_xlfn.XLOOKUP($B161,'[1]FFPC TE'!$A$2:$A$46,'[1]FFPC TE'!B$2:B$46,,0)</f>
        <v>2.9000000000000004</v>
      </c>
      <c r="I161">
        <f>_xlfn.XLOOKUP($B161,'[1]FFPC TE'!$A$2:$A$46,'[1]FFPC TE'!C$2:C$46,,0)</f>
        <v>6.3</v>
      </c>
      <c r="J161">
        <f>_xlfn.XLOOKUP($B161,'[1]FFPC TE'!$A$2:$A$46,'[1]FFPC TE'!D$2:D$46,,0)</f>
        <v>2.1</v>
      </c>
      <c r="K161">
        <f>_xlfn.XLOOKUP($B161,'[1]FFPC TE'!$A$2:$A$46,'[1]FFPC TE'!E$2:E$46,,0)</f>
        <v>2.2999999999999998</v>
      </c>
      <c r="L161">
        <f>_xlfn.XLOOKUP($B161,'[1]FFPC TE'!$A$2:$A$46,'[1]FFPC TE'!F$2:F$46,,0)</f>
        <v>4.5</v>
      </c>
      <c r="M161">
        <f>_xlfn.XLOOKUP($B161,'[1]FFPC TE'!$A$2:$A$46,'[1]FFPC TE'!G$2:G$46,,0)</f>
        <v>0</v>
      </c>
      <c r="N161">
        <f>_xlfn.XLOOKUP($B161,'[1]FFPC TE'!$A$2:$A$46,'[1]FFPC TE'!H$2:H$46,,0)</f>
        <v>0</v>
      </c>
      <c r="O161">
        <f>_xlfn.XLOOKUP($B161,'[1]FFPC TE'!$A$2:$A$46,'[1]FFPC TE'!I$2:I$46,,0)</f>
        <v>0</v>
      </c>
      <c r="P161">
        <f>_xlfn.XLOOKUP($B161,'[1]FFPC TE'!$A$2:$A$46,'[1]FFPC TE'!J$2:J$46,,0)</f>
        <v>0</v>
      </c>
      <c r="Q161">
        <f>_xlfn.XLOOKUP($B161,'[1]FFPC TE'!$A$2:$A$46,'[1]FFPC TE'!K$2:K$46,,0)</f>
        <v>0</v>
      </c>
      <c r="R161">
        <f>_xlfn.XLOOKUP($B161,'[1]FFPC TE'!$A$2:$A$46,'[1]FFPC TE'!L$2:L$46,,0)</f>
        <v>0</v>
      </c>
      <c r="S161">
        <f>_xlfn.XLOOKUP($B161,'[1]FFPC TE'!$A$2:$A$46,'[1]FFPC TE'!M$2:M$46,,0)</f>
        <v>9.5</v>
      </c>
      <c r="T161">
        <f>_xlfn.XLOOKUP($B161,'[1]FFPC TE'!$A$2:$A$46,'[1]FFPC TE'!N$2:N$46,,0)</f>
        <v>4.9000000000000004</v>
      </c>
      <c r="U161">
        <f>_xlfn.XLOOKUP($B161,'[1]FFPC TE'!$A$2:$A$46,'[1]FFPC TE'!O$2:O$46,,0)</f>
        <v>23.6</v>
      </c>
      <c r="V161">
        <f>_xlfn.XLOOKUP($B161,'[1]FFPC TE'!$A$2:$A$46,'[1]FFPC TE'!P$2:P$46,,0)</f>
        <v>2.6</v>
      </c>
      <c r="W161">
        <f>_xlfn.XLOOKUP($B161,'[1]FFPC TE'!$A$2:$A$46,'[1]FFPC TE'!Q$2:Q$46,,0)</f>
        <v>14</v>
      </c>
      <c r="X161">
        <f>_xlfn.XLOOKUP($B161,'[1]FFPC TE'!$A$2:$A$46,'[1]FFPC TE'!R$2:R$46,,0)</f>
        <v>7.7</v>
      </c>
      <c r="Y161">
        <f t="shared" si="2"/>
        <v>80.400000000000006</v>
      </c>
      <c r="Z161">
        <v>5.4</v>
      </c>
      <c r="AA161">
        <v>16</v>
      </c>
      <c r="AB161">
        <v>1</v>
      </c>
      <c r="AC161">
        <v>2</v>
      </c>
      <c r="AD161">
        <v>1</v>
      </c>
      <c r="AE161">
        <v>1</v>
      </c>
      <c r="AF161">
        <v>0</v>
      </c>
      <c r="AG161">
        <v>0</v>
      </c>
      <c r="AH161">
        <v>0.11764705882352941</v>
      </c>
      <c r="AI161">
        <v>7.6923076923076927E-2</v>
      </c>
      <c r="AJ161">
        <v>7.6923076923076927E-2</v>
      </c>
      <c r="AK161">
        <v>0</v>
      </c>
      <c r="AL161">
        <v>0</v>
      </c>
    </row>
    <row r="162" spans="1:38" x14ac:dyDescent="0.25">
      <c r="A162">
        <v>2025</v>
      </c>
      <c r="B162" t="s">
        <v>208</v>
      </c>
      <c r="C162" t="s">
        <v>59</v>
      </c>
      <c r="D162" t="str" cm="1">
        <f t="array" ref="D162">_xlfn.XLOOKUP(1,('26 WR'!A:A=E162)*('26 WR'!B:B=F162),'26 WR'!C:C)</f>
        <v>Cade Otton</v>
      </c>
      <c r="E162" t="s">
        <v>28</v>
      </c>
      <c r="F162">
        <v>26</v>
      </c>
      <c r="G162">
        <v>165</v>
      </c>
      <c r="H162">
        <f>_xlfn.XLOOKUP($B162,'[1]FFPC TE'!$A$2:$A$46,'[1]FFPC TE'!B$2:B$46,,0)</f>
        <v>0</v>
      </c>
      <c r="I162">
        <f>_xlfn.XLOOKUP($B162,'[1]FFPC TE'!$A$2:$A$46,'[1]FFPC TE'!C$2:C$46,,0)</f>
        <v>0</v>
      </c>
      <c r="J162">
        <f>_xlfn.XLOOKUP($B162,'[1]FFPC TE'!$A$2:$A$46,'[1]FFPC TE'!D$2:D$46,,0)</f>
        <v>0</v>
      </c>
      <c r="K162">
        <f>_xlfn.XLOOKUP($B162,'[1]FFPC TE'!$A$2:$A$46,'[1]FFPC TE'!E$2:E$46,,0)</f>
        <v>19.2</v>
      </c>
      <c r="L162">
        <f>_xlfn.XLOOKUP($B162,'[1]FFPC TE'!$A$2:$A$46,'[1]FFPC TE'!F$2:F$46,,0)</f>
        <v>21.3</v>
      </c>
      <c r="M162">
        <f>_xlfn.XLOOKUP($B162,'[1]FFPC TE'!$A$2:$A$46,'[1]FFPC TE'!G$2:G$46,,0)</f>
        <v>10.199999999999999</v>
      </c>
      <c r="N162">
        <f>_xlfn.XLOOKUP($B162,'[1]FFPC TE'!$A$2:$A$46,'[1]FFPC TE'!H$2:H$46,,0)</f>
        <v>0</v>
      </c>
      <c r="O162">
        <f>_xlfn.XLOOKUP($B162,'[1]FFPC TE'!$A$2:$A$46,'[1]FFPC TE'!I$2:I$46,,0)</f>
        <v>0</v>
      </c>
      <c r="P162">
        <f>_xlfn.XLOOKUP($B162,'[1]FFPC TE'!$A$2:$A$46,'[1]FFPC TE'!J$2:J$46,,0)</f>
        <v>0</v>
      </c>
      <c r="Q162">
        <f>_xlfn.XLOOKUP($B162,'[1]FFPC TE'!$A$2:$A$46,'[1]FFPC TE'!K$2:K$46,,0)</f>
        <v>0</v>
      </c>
      <c r="R162">
        <f>_xlfn.XLOOKUP($B162,'[1]FFPC TE'!$A$2:$A$46,'[1]FFPC TE'!L$2:L$46,,0)</f>
        <v>0</v>
      </c>
      <c r="S162">
        <f>_xlfn.XLOOKUP($B162,'[1]FFPC TE'!$A$2:$A$46,'[1]FFPC TE'!M$2:M$46,,0)</f>
        <v>0</v>
      </c>
      <c r="T162">
        <f>_xlfn.XLOOKUP($B162,'[1]FFPC TE'!$A$2:$A$46,'[1]FFPC TE'!N$2:N$46,,0)</f>
        <v>7.7</v>
      </c>
      <c r="U162">
        <f>_xlfn.XLOOKUP($B162,'[1]FFPC TE'!$A$2:$A$46,'[1]FFPC TE'!O$2:O$46,,0)</f>
        <v>2.8</v>
      </c>
      <c r="V162">
        <f>_xlfn.XLOOKUP($B162,'[1]FFPC TE'!$A$2:$A$46,'[1]FFPC TE'!P$2:P$46,,0)</f>
        <v>29.1</v>
      </c>
      <c r="W162">
        <f>_xlfn.XLOOKUP($B162,'[1]FFPC TE'!$A$2:$A$46,'[1]FFPC TE'!Q$2:Q$46,,0)</f>
        <v>8.5</v>
      </c>
      <c r="X162">
        <f>_xlfn.XLOOKUP($B162,'[1]FFPC TE'!$A$2:$A$46,'[1]FFPC TE'!R$2:R$46,,0)</f>
        <v>1.5</v>
      </c>
      <c r="Y162">
        <f t="shared" si="2"/>
        <v>100.30000000000001</v>
      </c>
      <c r="Z162">
        <v>9.9</v>
      </c>
      <c r="AA162">
        <v>17</v>
      </c>
      <c r="AB162">
        <v>1</v>
      </c>
      <c r="AC162">
        <v>3</v>
      </c>
      <c r="AD162">
        <v>3</v>
      </c>
      <c r="AE162">
        <v>1</v>
      </c>
      <c r="AF162">
        <v>1</v>
      </c>
      <c r="AG162">
        <v>0</v>
      </c>
      <c r="AH162">
        <v>0.17647058823529413</v>
      </c>
      <c r="AI162">
        <v>0.33333333333333331</v>
      </c>
      <c r="AJ162">
        <v>0.1111111111111111</v>
      </c>
      <c r="AK162">
        <v>0.1111111111111111</v>
      </c>
      <c r="AL162">
        <v>0</v>
      </c>
    </row>
    <row r="163" spans="1:38" x14ac:dyDescent="0.25">
      <c r="A163">
        <v>2025</v>
      </c>
      <c r="B163" t="s">
        <v>214</v>
      </c>
      <c r="C163" t="s">
        <v>132</v>
      </c>
      <c r="D163" t="str" cm="1">
        <f t="array" ref="D163">_xlfn.XLOOKUP(1,('26 WR'!A:A=E163)*('26 WR'!B:B=F163),'26 WR'!C:C)</f>
        <v>David Njoku</v>
      </c>
      <c r="E163" t="s">
        <v>28</v>
      </c>
      <c r="F163">
        <v>27</v>
      </c>
      <c r="G163">
        <v>170</v>
      </c>
      <c r="H163">
        <f>_xlfn.XLOOKUP($B163,'[1]FFPC TE'!$A$2:$A$46,'[1]FFPC TE'!B$2:B$46,,0)</f>
        <v>16.8</v>
      </c>
      <c r="I163">
        <f>_xlfn.XLOOKUP($B163,'[1]FFPC TE'!$A$2:$A$46,'[1]FFPC TE'!C$2:C$46,,0)</f>
        <v>12.3</v>
      </c>
      <c r="J163">
        <f>_xlfn.XLOOKUP($B163,'[1]FFPC TE'!$A$2:$A$46,'[1]FFPC TE'!D$2:D$46,,0)</f>
        <v>7</v>
      </c>
      <c r="K163">
        <f>_xlfn.XLOOKUP($B163,'[1]FFPC TE'!$A$2:$A$46,'[1]FFPC TE'!E$2:E$46,,0)</f>
        <v>5.4</v>
      </c>
      <c r="L163">
        <f>_xlfn.XLOOKUP($B163,'[1]FFPC TE'!$A$2:$A$46,'[1]FFPC TE'!F$2:F$46,,0)</f>
        <v>13.3</v>
      </c>
      <c r="M163">
        <f>_xlfn.XLOOKUP($B163,'[1]FFPC TE'!$A$2:$A$46,'[1]FFPC TE'!G$2:G$46,,0)</f>
        <v>18.600000000000001</v>
      </c>
      <c r="N163">
        <f>_xlfn.XLOOKUP($B163,'[1]FFPC TE'!$A$2:$A$46,'[1]FFPC TE'!H$2:H$46,,0)</f>
        <v>9.6</v>
      </c>
      <c r="O163">
        <f>_xlfn.XLOOKUP($B163,'[1]FFPC TE'!$A$2:$A$46,'[1]FFPC TE'!I$2:I$46,,0)</f>
        <v>21.2</v>
      </c>
      <c r="P163">
        <f>_xlfn.XLOOKUP($B163,'[1]FFPC TE'!$A$2:$A$46,'[1]FFPC TE'!J$2:J$46,,0)</f>
        <v>0</v>
      </c>
      <c r="Q163">
        <f>_xlfn.XLOOKUP($B163,'[1]FFPC TE'!$A$2:$A$46,'[1]FFPC TE'!K$2:K$46,,0)</f>
        <v>10.4</v>
      </c>
      <c r="R163">
        <f>_xlfn.XLOOKUP($B163,'[1]FFPC TE'!$A$2:$A$46,'[1]FFPC TE'!L$2:L$46,,0)</f>
        <v>5.6</v>
      </c>
      <c r="S163">
        <f>_xlfn.XLOOKUP($B163,'[1]FFPC TE'!$A$2:$A$46,'[1]FFPC TE'!M$2:M$46,,0)</f>
        <v>10</v>
      </c>
      <c r="T163">
        <f>_xlfn.XLOOKUP($B163,'[1]FFPC TE'!$A$2:$A$46,'[1]FFPC TE'!N$2:N$46,,0)</f>
        <v>14.8</v>
      </c>
      <c r="U163">
        <f>_xlfn.XLOOKUP($B163,'[1]FFPC TE'!$A$2:$A$46,'[1]FFPC TE'!O$2:O$46,,0)</f>
        <v>29.4</v>
      </c>
      <c r="V163">
        <f>_xlfn.XLOOKUP($B163,'[1]FFPC TE'!$A$2:$A$46,'[1]FFPC TE'!P$2:P$46,,0)</f>
        <v>15.3</v>
      </c>
      <c r="W163">
        <f>_xlfn.XLOOKUP($B163,'[1]FFPC TE'!$A$2:$A$46,'[1]FFPC TE'!Q$2:Q$46,,0)</f>
        <v>15.4</v>
      </c>
      <c r="X163">
        <f>_xlfn.XLOOKUP($B163,'[1]FFPC TE'!$A$2:$A$46,'[1]FFPC TE'!R$2:R$46,,0)</f>
        <v>12</v>
      </c>
      <c r="Y163">
        <f t="shared" si="2"/>
        <v>217.10000000000002</v>
      </c>
      <c r="Z163">
        <v>11.7</v>
      </c>
      <c r="AA163">
        <v>18</v>
      </c>
      <c r="AB163">
        <v>1</v>
      </c>
      <c r="AC163">
        <v>9</v>
      </c>
      <c r="AD163">
        <v>4</v>
      </c>
      <c r="AE163">
        <v>1</v>
      </c>
      <c r="AF163">
        <v>1</v>
      </c>
      <c r="AG163">
        <v>0</v>
      </c>
      <c r="AH163">
        <v>0.52941176470588236</v>
      </c>
      <c r="AI163">
        <v>0.25</v>
      </c>
      <c r="AJ163">
        <v>6.25E-2</v>
      </c>
      <c r="AK163">
        <v>6.25E-2</v>
      </c>
      <c r="AL163">
        <v>0</v>
      </c>
    </row>
    <row r="164" spans="1:38" x14ac:dyDescent="0.25">
      <c r="A164">
        <v>2025</v>
      </c>
      <c r="B164" t="s">
        <v>216</v>
      </c>
      <c r="C164" t="s">
        <v>108</v>
      </c>
      <c r="D164" t="str" cm="1">
        <f t="array" ref="D164">_xlfn.XLOOKUP(1,('26 WR'!A:A=E164)*('26 WR'!B:B=F164),'26 WR'!C:C)</f>
        <v>Pat Freiermuth</v>
      </c>
      <c r="E164" t="s">
        <v>28</v>
      </c>
      <c r="F164">
        <v>28</v>
      </c>
      <c r="G164">
        <v>173</v>
      </c>
      <c r="H164">
        <f>_xlfn.XLOOKUP($B164,'[1]FFPC TE'!$A$2:$A$46,'[1]FFPC TE'!B$2:B$46,,0)</f>
        <v>7.3000000000000007</v>
      </c>
      <c r="I164">
        <f>_xlfn.XLOOKUP($B164,'[1]FFPC TE'!$A$2:$A$46,'[1]FFPC TE'!C$2:C$46,,0)</f>
        <v>7.6</v>
      </c>
      <c r="J164">
        <f>_xlfn.XLOOKUP($B164,'[1]FFPC TE'!$A$2:$A$46,'[1]FFPC TE'!D$2:D$46,,0)</f>
        <v>2.1</v>
      </c>
      <c r="K164">
        <f>_xlfn.XLOOKUP($B164,'[1]FFPC TE'!$A$2:$A$46,'[1]FFPC TE'!E$2:E$46,,0)</f>
        <v>0</v>
      </c>
      <c r="L164">
        <f>_xlfn.XLOOKUP($B164,'[1]FFPC TE'!$A$2:$A$46,'[1]FFPC TE'!F$2:F$46,,0)</f>
        <v>0</v>
      </c>
      <c r="M164">
        <f>_xlfn.XLOOKUP($B164,'[1]FFPC TE'!$A$2:$A$46,'[1]FFPC TE'!G$2:G$46,,0)</f>
        <v>2.6</v>
      </c>
      <c r="N164">
        <f>_xlfn.XLOOKUP($B164,'[1]FFPC TE'!$A$2:$A$46,'[1]FFPC TE'!H$2:H$46,,0)</f>
        <v>30.6</v>
      </c>
      <c r="O164">
        <f>_xlfn.XLOOKUP($B164,'[1]FFPC TE'!$A$2:$A$46,'[1]FFPC TE'!I$2:I$46,,0)</f>
        <v>5.8</v>
      </c>
      <c r="P164">
        <f>_xlfn.XLOOKUP($B164,'[1]FFPC TE'!$A$2:$A$46,'[1]FFPC TE'!J$2:J$46,,0)</f>
        <v>13.2</v>
      </c>
      <c r="Q164">
        <f>_xlfn.XLOOKUP($B164,'[1]FFPC TE'!$A$2:$A$46,'[1]FFPC TE'!K$2:K$46,,0)</f>
        <v>7.8000000000000007</v>
      </c>
      <c r="R164">
        <f>_xlfn.XLOOKUP($B164,'[1]FFPC TE'!$A$2:$A$46,'[1]FFPC TE'!L$2:L$46,,0)</f>
        <v>3.4000000000000004</v>
      </c>
      <c r="S164">
        <f>_xlfn.XLOOKUP($B164,'[1]FFPC TE'!$A$2:$A$46,'[1]FFPC TE'!M$2:M$46,,0)</f>
        <v>12.4</v>
      </c>
      <c r="T164">
        <f>_xlfn.XLOOKUP($B164,'[1]FFPC TE'!$A$2:$A$46,'[1]FFPC TE'!N$2:N$46,,0)</f>
        <v>0</v>
      </c>
      <c r="U164">
        <f>_xlfn.XLOOKUP($B164,'[1]FFPC TE'!$A$2:$A$46,'[1]FFPC TE'!O$2:O$46,,0)</f>
        <v>3.9</v>
      </c>
      <c r="V164">
        <f>_xlfn.XLOOKUP($B164,'[1]FFPC TE'!$A$2:$A$46,'[1]FFPC TE'!P$2:P$46,,0)</f>
        <v>9</v>
      </c>
      <c r="W164">
        <f>_xlfn.XLOOKUP($B164,'[1]FFPC TE'!$A$2:$A$46,'[1]FFPC TE'!Q$2:Q$46,,0)</f>
        <v>8</v>
      </c>
      <c r="X164">
        <f>_xlfn.XLOOKUP($B164,'[1]FFPC TE'!$A$2:$A$46,'[1]FFPC TE'!R$2:R$46,,0)</f>
        <v>10.8</v>
      </c>
      <c r="Y164">
        <f t="shared" si="2"/>
        <v>124.50000000000001</v>
      </c>
      <c r="Z164">
        <v>6.7</v>
      </c>
      <c r="AA164">
        <v>18</v>
      </c>
      <c r="AB164">
        <v>1</v>
      </c>
      <c r="AC164">
        <v>3</v>
      </c>
      <c r="AD164">
        <v>1</v>
      </c>
      <c r="AE164">
        <v>1</v>
      </c>
      <c r="AF164">
        <v>1</v>
      </c>
      <c r="AG164">
        <v>0</v>
      </c>
      <c r="AH164">
        <v>0.17647058823529413</v>
      </c>
      <c r="AI164">
        <v>5.8823529411764705E-2</v>
      </c>
      <c r="AJ164">
        <v>5.8823529411764705E-2</v>
      </c>
      <c r="AK164">
        <v>5.8823529411764705E-2</v>
      </c>
      <c r="AL164">
        <v>0</v>
      </c>
    </row>
    <row r="165" spans="1:38" x14ac:dyDescent="0.25">
      <c r="A165">
        <v>2025</v>
      </c>
      <c r="B165" t="s">
        <v>220</v>
      </c>
      <c r="C165" t="s">
        <v>43</v>
      </c>
      <c r="D165" t="str" cm="1">
        <f t="array" ref="D165">_xlfn.XLOOKUP(1,('26 WR'!A:A=E165)*('26 WR'!B:B=F165),'26 WR'!C:C)</f>
        <v>Terrance Ferguson</v>
      </c>
      <c r="E165" t="s">
        <v>28</v>
      </c>
      <c r="F165">
        <v>29</v>
      </c>
      <c r="G165">
        <v>176</v>
      </c>
      <c r="H165">
        <f>_xlfn.XLOOKUP($B165,'[1]FFPC TE'!$A$2:$A$46,'[1]FFPC TE'!B$2:B$46,,0)</f>
        <v>2</v>
      </c>
      <c r="I165">
        <f>_xlfn.XLOOKUP($B165,'[1]FFPC TE'!$A$2:$A$46,'[1]FFPC TE'!C$2:C$46,,0)</f>
        <v>9.4</v>
      </c>
      <c r="J165">
        <f>_xlfn.XLOOKUP($B165,'[1]FFPC TE'!$A$2:$A$46,'[1]FFPC TE'!D$2:D$46,,0)</f>
        <v>2.5</v>
      </c>
      <c r="K165">
        <f>_xlfn.XLOOKUP($B165,'[1]FFPC TE'!$A$2:$A$46,'[1]FFPC TE'!E$2:E$46,,0)</f>
        <v>12.2</v>
      </c>
      <c r="L165">
        <f>_xlfn.XLOOKUP($B165,'[1]FFPC TE'!$A$2:$A$46,'[1]FFPC TE'!F$2:F$46,,0)</f>
        <v>24.3</v>
      </c>
      <c r="M165">
        <f>_xlfn.XLOOKUP($B165,'[1]FFPC TE'!$A$2:$A$46,'[1]FFPC TE'!G$2:G$46,,0)</f>
        <v>5.7</v>
      </c>
      <c r="N165">
        <f>_xlfn.XLOOKUP($B165,'[1]FFPC TE'!$A$2:$A$46,'[1]FFPC TE'!H$2:H$46,,0)</f>
        <v>17.100000000000001</v>
      </c>
      <c r="O165">
        <f>_xlfn.XLOOKUP($B165,'[1]FFPC TE'!$A$2:$A$46,'[1]FFPC TE'!I$2:I$46,,0)</f>
        <v>6.5</v>
      </c>
      <c r="P165">
        <f>_xlfn.XLOOKUP($B165,'[1]FFPC TE'!$A$2:$A$46,'[1]FFPC TE'!J$2:J$46,,0)</f>
        <v>13.2</v>
      </c>
      <c r="Q165">
        <f>_xlfn.XLOOKUP($B165,'[1]FFPC TE'!$A$2:$A$46,'[1]FFPC TE'!K$2:K$46,,0)</f>
        <v>18</v>
      </c>
      <c r="R165">
        <f>_xlfn.XLOOKUP($B165,'[1]FFPC TE'!$A$2:$A$46,'[1]FFPC TE'!L$2:L$46,,0)</f>
        <v>8.1</v>
      </c>
      <c r="S165">
        <f>_xlfn.XLOOKUP($B165,'[1]FFPC TE'!$A$2:$A$46,'[1]FFPC TE'!M$2:M$46,,0)</f>
        <v>12.2</v>
      </c>
      <c r="T165">
        <f>_xlfn.XLOOKUP($B165,'[1]FFPC TE'!$A$2:$A$46,'[1]FFPC TE'!N$2:N$46,,0)</f>
        <v>7.4</v>
      </c>
      <c r="U165">
        <f>_xlfn.XLOOKUP($B165,'[1]FFPC TE'!$A$2:$A$46,'[1]FFPC TE'!O$2:O$46,,0)</f>
        <v>0</v>
      </c>
      <c r="V165">
        <f>_xlfn.XLOOKUP($B165,'[1]FFPC TE'!$A$2:$A$46,'[1]FFPC TE'!P$2:P$46,,0)</f>
        <v>11.7</v>
      </c>
      <c r="W165">
        <f>_xlfn.XLOOKUP($B165,'[1]FFPC TE'!$A$2:$A$46,'[1]FFPC TE'!Q$2:Q$46,,0)</f>
        <v>0</v>
      </c>
      <c r="X165">
        <f>_xlfn.XLOOKUP($B165,'[1]FFPC TE'!$A$2:$A$46,'[1]FFPC TE'!R$2:R$46,,0)</f>
        <v>0</v>
      </c>
      <c r="Y165">
        <f t="shared" si="2"/>
        <v>150.30000000000001</v>
      </c>
      <c r="Z165">
        <v>8.5</v>
      </c>
      <c r="AA165">
        <v>18</v>
      </c>
      <c r="AB165">
        <v>1</v>
      </c>
      <c r="AC165">
        <v>7</v>
      </c>
      <c r="AD165">
        <v>2</v>
      </c>
      <c r="AE165">
        <v>1</v>
      </c>
      <c r="AF165">
        <v>0</v>
      </c>
      <c r="AG165">
        <v>0</v>
      </c>
      <c r="AH165">
        <v>0.41176470588235292</v>
      </c>
      <c r="AI165">
        <v>0.13333333333333333</v>
      </c>
      <c r="AJ165">
        <v>6.6666666666666666E-2</v>
      </c>
      <c r="AK165">
        <v>0</v>
      </c>
      <c r="AL165">
        <v>0</v>
      </c>
    </row>
    <row r="166" spans="1:38" x14ac:dyDescent="0.25">
      <c r="A166">
        <v>2025</v>
      </c>
      <c r="B166" t="s">
        <v>224</v>
      </c>
      <c r="C166" t="s">
        <v>39</v>
      </c>
      <c r="D166" t="str" cm="1">
        <f t="array" ref="D166">_xlfn.XLOOKUP(1,('26 WR'!A:A=E166)*('26 WR'!B:B=F166),'26 WR'!C:C)</f>
        <v>Colby Parkinson</v>
      </c>
      <c r="E166" t="s">
        <v>28</v>
      </c>
      <c r="F166">
        <v>30</v>
      </c>
      <c r="G166">
        <v>179</v>
      </c>
      <c r="H166">
        <f>_xlfn.XLOOKUP($B166,'[1]FFPC TE'!$A$2:$A$46,'[1]FFPC TE'!B$2:B$46,,0)</f>
        <v>7.3000000000000007</v>
      </c>
      <c r="I166">
        <f>_xlfn.XLOOKUP($B166,'[1]FFPC TE'!$A$2:$A$46,'[1]FFPC TE'!C$2:C$46,,0)</f>
        <v>7.4</v>
      </c>
      <c r="J166">
        <f>_xlfn.XLOOKUP($B166,'[1]FFPC TE'!$A$2:$A$46,'[1]FFPC TE'!D$2:D$46,,0)</f>
        <v>11.4</v>
      </c>
      <c r="K166">
        <f>_xlfn.XLOOKUP($B166,'[1]FFPC TE'!$A$2:$A$46,'[1]FFPC TE'!E$2:E$46,,0)</f>
        <v>10.5</v>
      </c>
      <c r="L166">
        <f>_xlfn.XLOOKUP($B166,'[1]FFPC TE'!$A$2:$A$46,'[1]FFPC TE'!F$2:F$46,,0)</f>
        <v>13.5</v>
      </c>
      <c r="M166">
        <f>_xlfn.XLOOKUP($B166,'[1]FFPC TE'!$A$2:$A$46,'[1]FFPC TE'!G$2:G$46,,0)</f>
        <v>0</v>
      </c>
      <c r="N166">
        <f>_xlfn.XLOOKUP($B166,'[1]FFPC TE'!$A$2:$A$46,'[1]FFPC TE'!H$2:H$46,,0)</f>
        <v>23.3</v>
      </c>
      <c r="O166">
        <f>_xlfn.XLOOKUP($B166,'[1]FFPC TE'!$A$2:$A$46,'[1]FFPC TE'!I$2:I$46,,0)</f>
        <v>5.4</v>
      </c>
      <c r="P166">
        <f>_xlfn.XLOOKUP($B166,'[1]FFPC TE'!$A$2:$A$46,'[1]FFPC TE'!J$2:J$46,,0)</f>
        <v>16.7</v>
      </c>
      <c r="Q166">
        <f>_xlfn.XLOOKUP($B166,'[1]FFPC TE'!$A$2:$A$46,'[1]FFPC TE'!K$2:K$46,,0)</f>
        <v>21.8</v>
      </c>
      <c r="R166">
        <f>_xlfn.XLOOKUP($B166,'[1]FFPC TE'!$A$2:$A$46,'[1]FFPC TE'!L$2:L$46,,0)</f>
        <v>14.100000000000001</v>
      </c>
      <c r="S166">
        <f>_xlfn.XLOOKUP($B166,'[1]FFPC TE'!$A$2:$A$46,'[1]FFPC TE'!M$2:M$46,,0)</f>
        <v>2.2999999999999998</v>
      </c>
      <c r="T166">
        <f>_xlfn.XLOOKUP($B166,'[1]FFPC TE'!$A$2:$A$46,'[1]FFPC TE'!N$2:N$46,,0)</f>
        <v>16</v>
      </c>
      <c r="U166">
        <f>_xlfn.XLOOKUP($B166,'[1]FFPC TE'!$A$2:$A$46,'[1]FFPC TE'!O$2:O$46,,0)</f>
        <v>6.7</v>
      </c>
      <c r="V166">
        <f>_xlfn.XLOOKUP($B166,'[1]FFPC TE'!$A$2:$A$46,'[1]FFPC TE'!P$2:P$46,,0)</f>
        <v>25.6</v>
      </c>
      <c r="W166">
        <f>_xlfn.XLOOKUP($B166,'[1]FFPC TE'!$A$2:$A$46,'[1]FFPC TE'!Q$2:Q$46,,0)</f>
        <v>17</v>
      </c>
      <c r="X166">
        <f>_xlfn.XLOOKUP($B166,'[1]FFPC TE'!$A$2:$A$46,'[1]FFPC TE'!R$2:R$46,,0)</f>
        <v>6.4</v>
      </c>
      <c r="Y166">
        <f t="shared" si="2"/>
        <v>205.4</v>
      </c>
      <c r="Z166">
        <v>10.5</v>
      </c>
      <c r="AA166">
        <v>19</v>
      </c>
      <c r="AB166">
        <v>1</v>
      </c>
      <c r="AC166">
        <v>9</v>
      </c>
      <c r="AD166">
        <v>3</v>
      </c>
      <c r="AE166">
        <v>1</v>
      </c>
      <c r="AF166">
        <v>0</v>
      </c>
      <c r="AG166">
        <v>0</v>
      </c>
      <c r="AH166">
        <v>0.52941176470588236</v>
      </c>
      <c r="AI166">
        <v>0.17647058823529413</v>
      </c>
      <c r="AJ166">
        <v>5.8823529411764705E-2</v>
      </c>
      <c r="AK166">
        <v>0</v>
      </c>
      <c r="AL166">
        <v>0</v>
      </c>
    </row>
    <row r="167" spans="1:38" x14ac:dyDescent="0.25">
      <c r="A167">
        <v>2025</v>
      </c>
      <c r="B167" t="s">
        <v>230</v>
      </c>
      <c r="C167" t="s">
        <v>96</v>
      </c>
      <c r="D167" t="str" cm="1">
        <f t="array" ref="D167">_xlfn.XLOOKUP(1,('26 WR'!A:A=E167)*('26 WR'!B:B=F167),'26 WR'!C:C)</f>
        <v>Evan Engram</v>
      </c>
      <c r="E167" t="s">
        <v>28</v>
      </c>
      <c r="F167">
        <v>31</v>
      </c>
      <c r="G167">
        <v>186</v>
      </c>
      <c r="H167">
        <f>_xlfn.XLOOKUP($B167,'[1]FFPC TE'!$A$2:$A$46,'[1]FFPC TE'!B$2:B$46,,0)</f>
        <v>19.600000000000001</v>
      </c>
      <c r="I167">
        <f>_xlfn.XLOOKUP($B167,'[1]FFPC TE'!$A$2:$A$46,'[1]FFPC TE'!C$2:C$46,,0)</f>
        <v>18.399999999999999</v>
      </c>
      <c r="J167">
        <f>_xlfn.XLOOKUP($B167,'[1]FFPC TE'!$A$2:$A$46,'[1]FFPC TE'!D$2:D$46,,0)</f>
        <v>14.100000000000001</v>
      </c>
      <c r="K167">
        <f>_xlfn.XLOOKUP($B167,'[1]FFPC TE'!$A$2:$A$46,'[1]FFPC TE'!E$2:E$46,,0)</f>
        <v>7.3000000000000007</v>
      </c>
      <c r="L167">
        <f>_xlfn.XLOOKUP($B167,'[1]FFPC TE'!$A$2:$A$46,'[1]FFPC TE'!F$2:F$46,,0)</f>
        <v>4.7</v>
      </c>
      <c r="M167">
        <f>_xlfn.XLOOKUP($B167,'[1]FFPC TE'!$A$2:$A$46,'[1]FFPC TE'!G$2:G$46,,0)</f>
        <v>4.5</v>
      </c>
      <c r="N167">
        <f>_xlfn.XLOOKUP($B167,'[1]FFPC TE'!$A$2:$A$46,'[1]FFPC TE'!H$2:H$46,,0)</f>
        <v>15.4</v>
      </c>
      <c r="O167">
        <f>_xlfn.XLOOKUP($B167,'[1]FFPC TE'!$A$2:$A$46,'[1]FFPC TE'!I$2:I$46,,0)</f>
        <v>12.8</v>
      </c>
      <c r="P167">
        <f>_xlfn.XLOOKUP($B167,'[1]FFPC TE'!$A$2:$A$46,'[1]FFPC TE'!J$2:J$46,,0)</f>
        <v>13.6</v>
      </c>
      <c r="Q167">
        <f>_xlfn.XLOOKUP($B167,'[1]FFPC TE'!$A$2:$A$46,'[1]FFPC TE'!K$2:K$46,,0)</f>
        <v>21.200000000000003</v>
      </c>
      <c r="R167">
        <f>_xlfn.XLOOKUP($B167,'[1]FFPC TE'!$A$2:$A$46,'[1]FFPC TE'!L$2:L$46,,0)</f>
        <v>0</v>
      </c>
      <c r="S167">
        <f>_xlfn.XLOOKUP($B167,'[1]FFPC TE'!$A$2:$A$46,'[1]FFPC TE'!M$2:M$46,,0)</f>
        <v>13.600000000000001</v>
      </c>
      <c r="T167">
        <f>_xlfn.XLOOKUP($B167,'[1]FFPC TE'!$A$2:$A$46,'[1]FFPC TE'!N$2:N$46,,0)</f>
        <v>11.4</v>
      </c>
      <c r="U167">
        <f>_xlfn.XLOOKUP($B167,'[1]FFPC TE'!$A$2:$A$46,'[1]FFPC TE'!O$2:O$46,,0)</f>
        <v>9.8000000000000007</v>
      </c>
      <c r="V167">
        <f>_xlfn.XLOOKUP($B167,'[1]FFPC TE'!$A$2:$A$46,'[1]FFPC TE'!P$2:P$46,,0)</f>
        <v>9</v>
      </c>
      <c r="W167">
        <f>_xlfn.XLOOKUP($B167,'[1]FFPC TE'!$A$2:$A$46,'[1]FFPC TE'!Q$2:Q$46,,0)</f>
        <v>20.9</v>
      </c>
      <c r="X167">
        <f>_xlfn.XLOOKUP($B167,'[1]FFPC TE'!$A$2:$A$46,'[1]FFPC TE'!R$2:R$46,,0)</f>
        <v>15.5</v>
      </c>
      <c r="Y167">
        <f t="shared" si="2"/>
        <v>211.80000000000004</v>
      </c>
      <c r="Z167">
        <v>10.6</v>
      </c>
      <c r="AA167">
        <v>19</v>
      </c>
      <c r="AB167">
        <v>1</v>
      </c>
      <c r="AC167">
        <v>10</v>
      </c>
      <c r="AD167">
        <v>4</v>
      </c>
      <c r="AE167">
        <v>0</v>
      </c>
      <c r="AF167">
        <v>0</v>
      </c>
      <c r="AG167">
        <v>0</v>
      </c>
      <c r="AH167">
        <v>0.58823529411764708</v>
      </c>
      <c r="AI167">
        <v>0.23529411764705882</v>
      </c>
      <c r="AJ167">
        <v>0</v>
      </c>
      <c r="AK167">
        <v>0</v>
      </c>
      <c r="AL167">
        <v>0</v>
      </c>
    </row>
    <row r="168" spans="1:38" x14ac:dyDescent="0.25">
      <c r="A168">
        <v>2025</v>
      </c>
      <c r="B168" t="s">
        <v>236</v>
      </c>
      <c r="C168" t="s">
        <v>49</v>
      </c>
      <c r="D168" t="str" cm="1">
        <f t="array" ref="D168">_xlfn.XLOOKUP(1,('26 WR'!A:A=E168)*('26 WR'!B:B=F168),'26 WR'!C:C)</f>
        <v>Eli Stowers</v>
      </c>
      <c r="E168" t="s">
        <v>28</v>
      </c>
      <c r="F168">
        <v>32</v>
      </c>
      <c r="G168">
        <v>190</v>
      </c>
      <c r="H168">
        <f>_xlfn.XLOOKUP($B168,'[1]FFPC TE'!$A$2:$A$46,'[1]FFPC TE'!B$2:B$46,,0)</f>
        <v>0</v>
      </c>
      <c r="I168">
        <f>_xlfn.XLOOKUP($B168,'[1]FFPC TE'!$A$2:$A$46,'[1]FFPC TE'!C$2:C$46,,0)</f>
        <v>9.6999999999999993</v>
      </c>
      <c r="J168">
        <f>_xlfn.XLOOKUP($B168,'[1]FFPC TE'!$A$2:$A$46,'[1]FFPC TE'!D$2:D$46,,0)</f>
        <v>0</v>
      </c>
      <c r="K168">
        <f>_xlfn.XLOOKUP($B168,'[1]FFPC TE'!$A$2:$A$46,'[1]FFPC TE'!E$2:E$46,,0)</f>
        <v>5.5</v>
      </c>
      <c r="L168">
        <f>_xlfn.XLOOKUP($B168,'[1]FFPC TE'!$A$2:$A$46,'[1]FFPC TE'!F$2:F$46,,0)</f>
        <v>0</v>
      </c>
      <c r="M168">
        <f>_xlfn.XLOOKUP($B168,'[1]FFPC TE'!$A$2:$A$46,'[1]FFPC TE'!G$2:G$46,,0)</f>
        <v>16</v>
      </c>
      <c r="N168">
        <f>_xlfn.XLOOKUP($B168,'[1]FFPC TE'!$A$2:$A$46,'[1]FFPC TE'!H$2:H$46,,0)</f>
        <v>6.4</v>
      </c>
      <c r="O168">
        <f>_xlfn.XLOOKUP($B168,'[1]FFPC TE'!$A$2:$A$46,'[1]FFPC TE'!I$2:I$46,,0)</f>
        <v>0</v>
      </c>
      <c r="P168">
        <f>_xlfn.XLOOKUP($B168,'[1]FFPC TE'!$A$2:$A$46,'[1]FFPC TE'!J$2:J$46,,0)</f>
        <v>11.8</v>
      </c>
      <c r="Q168">
        <f>_xlfn.XLOOKUP($B168,'[1]FFPC TE'!$A$2:$A$46,'[1]FFPC TE'!K$2:K$46,,0)</f>
        <v>7.8000000000000007</v>
      </c>
      <c r="R168">
        <f>_xlfn.XLOOKUP($B168,'[1]FFPC TE'!$A$2:$A$46,'[1]FFPC TE'!L$2:L$46,,0)</f>
        <v>3.8000000000000003</v>
      </c>
      <c r="S168">
        <f>_xlfn.XLOOKUP($B168,'[1]FFPC TE'!$A$2:$A$46,'[1]FFPC TE'!M$2:M$46,,0)</f>
        <v>0</v>
      </c>
      <c r="T168">
        <f>_xlfn.XLOOKUP($B168,'[1]FFPC TE'!$A$2:$A$46,'[1]FFPC TE'!N$2:N$46,,0)</f>
        <v>0</v>
      </c>
      <c r="U168">
        <f>_xlfn.XLOOKUP($B168,'[1]FFPC TE'!$A$2:$A$46,'[1]FFPC TE'!O$2:O$46,,0)</f>
        <v>0</v>
      </c>
      <c r="V168">
        <f>_xlfn.XLOOKUP($B168,'[1]FFPC TE'!$A$2:$A$46,'[1]FFPC TE'!P$2:P$46,,0)</f>
        <v>0</v>
      </c>
      <c r="W168">
        <f>_xlfn.XLOOKUP($B168,'[1]FFPC TE'!$A$2:$A$46,'[1]FFPC TE'!Q$2:Q$46,,0)</f>
        <v>0</v>
      </c>
      <c r="X168">
        <f>_xlfn.XLOOKUP($B168,'[1]FFPC TE'!$A$2:$A$46,'[1]FFPC TE'!R$2:R$46,,0)</f>
        <v>0</v>
      </c>
      <c r="Y168">
        <f t="shared" si="2"/>
        <v>61</v>
      </c>
      <c r="Z168">
        <v>7.1</v>
      </c>
      <c r="AA168">
        <v>20</v>
      </c>
      <c r="AB168">
        <v>1</v>
      </c>
      <c r="AC168">
        <v>3</v>
      </c>
      <c r="AD168">
        <v>1</v>
      </c>
      <c r="AE168">
        <v>1</v>
      </c>
      <c r="AF168">
        <v>0</v>
      </c>
      <c r="AG168">
        <v>0</v>
      </c>
      <c r="AH168">
        <v>0.17647058823529413</v>
      </c>
      <c r="AI168">
        <v>0.1</v>
      </c>
      <c r="AJ168">
        <v>0.1</v>
      </c>
      <c r="AK168">
        <v>0</v>
      </c>
      <c r="AL168">
        <v>0</v>
      </c>
    </row>
    <row r="169" spans="1:38" x14ac:dyDescent="0.25">
      <c r="A169">
        <v>2025</v>
      </c>
      <c r="B169" t="s">
        <v>242</v>
      </c>
      <c r="C169" t="s">
        <v>49</v>
      </c>
      <c r="D169" t="str" cm="1">
        <f t="array" ref="D169">_xlfn.XLOOKUP(1,('26 WR'!A:A=E169)*('26 WR'!B:B=F169),'26 WR'!C:C)</f>
        <v>Mason Taylor</v>
      </c>
      <c r="E169" t="s">
        <v>28</v>
      </c>
      <c r="F169">
        <v>33</v>
      </c>
      <c r="G169">
        <v>197</v>
      </c>
      <c r="H169">
        <f>_xlfn.XLOOKUP($B169,'[1]FFPC TE'!$A$2:$A$46,'[1]FFPC TE'!B$2:B$46,,0)</f>
        <v>2.4</v>
      </c>
      <c r="I169">
        <f>_xlfn.XLOOKUP($B169,'[1]FFPC TE'!$A$2:$A$46,'[1]FFPC TE'!C$2:C$46,,0)</f>
        <v>0</v>
      </c>
      <c r="J169">
        <f>_xlfn.XLOOKUP($B169,'[1]FFPC TE'!$A$2:$A$46,'[1]FFPC TE'!D$2:D$46,,0)</f>
        <v>0</v>
      </c>
      <c r="K169">
        <f>_xlfn.XLOOKUP($B169,'[1]FFPC TE'!$A$2:$A$46,'[1]FFPC TE'!E$2:E$46,,0)</f>
        <v>4.7</v>
      </c>
      <c r="L169">
        <f>_xlfn.XLOOKUP($B169,'[1]FFPC TE'!$A$2:$A$46,'[1]FFPC TE'!F$2:F$46,,0)</f>
        <v>0</v>
      </c>
      <c r="M169">
        <f>_xlfn.XLOOKUP($B169,'[1]FFPC TE'!$A$2:$A$46,'[1]FFPC TE'!G$2:G$46,,0)</f>
        <v>0</v>
      </c>
      <c r="N169">
        <f>_xlfn.XLOOKUP($B169,'[1]FFPC TE'!$A$2:$A$46,'[1]FFPC TE'!H$2:H$46,,0)</f>
        <v>9.1999999999999993</v>
      </c>
      <c r="O169">
        <f>_xlfn.XLOOKUP($B169,'[1]FFPC TE'!$A$2:$A$46,'[1]FFPC TE'!I$2:I$46,,0)</f>
        <v>0</v>
      </c>
      <c r="P169">
        <f>_xlfn.XLOOKUP($B169,'[1]FFPC TE'!$A$2:$A$46,'[1]FFPC TE'!J$2:J$46,,0)</f>
        <v>4</v>
      </c>
      <c r="Q169">
        <f>_xlfn.XLOOKUP($B169,'[1]FFPC TE'!$A$2:$A$46,'[1]FFPC TE'!K$2:K$46,,0)</f>
        <v>16.100000000000001</v>
      </c>
      <c r="R169">
        <f>_xlfn.XLOOKUP($B169,'[1]FFPC TE'!$A$2:$A$46,'[1]FFPC TE'!L$2:L$46,,0)</f>
        <v>10.4</v>
      </c>
      <c r="S169">
        <f>_xlfn.XLOOKUP($B169,'[1]FFPC TE'!$A$2:$A$46,'[1]FFPC TE'!M$2:M$46,,0)</f>
        <v>16.100000000000001</v>
      </c>
      <c r="T169">
        <f>_xlfn.XLOOKUP($B169,'[1]FFPC TE'!$A$2:$A$46,'[1]FFPC TE'!N$2:N$46,,0)</f>
        <v>8.6999999999999993</v>
      </c>
      <c r="U169">
        <f>_xlfn.XLOOKUP($B169,'[1]FFPC TE'!$A$2:$A$46,'[1]FFPC TE'!O$2:O$46,,0)</f>
        <v>13.7</v>
      </c>
      <c r="V169">
        <f>_xlfn.XLOOKUP($B169,'[1]FFPC TE'!$A$2:$A$46,'[1]FFPC TE'!P$2:P$46,,0)</f>
        <v>27</v>
      </c>
      <c r="W169">
        <f>_xlfn.XLOOKUP($B169,'[1]FFPC TE'!$A$2:$A$46,'[1]FFPC TE'!Q$2:Q$46,,0)</f>
        <v>5.0999999999999996</v>
      </c>
      <c r="X169">
        <f>_xlfn.XLOOKUP($B169,'[1]FFPC TE'!$A$2:$A$46,'[1]FFPC TE'!R$2:R$46,,0)</f>
        <v>14.3</v>
      </c>
      <c r="Y169">
        <f t="shared" si="2"/>
        <v>131.69999999999999</v>
      </c>
      <c r="Z169">
        <v>8.6999999999999993</v>
      </c>
      <c r="AA169">
        <v>20</v>
      </c>
      <c r="AB169">
        <v>1</v>
      </c>
      <c r="AC169">
        <v>6</v>
      </c>
      <c r="AD169">
        <v>2</v>
      </c>
      <c r="AE169">
        <v>1</v>
      </c>
      <c r="AF169">
        <v>0</v>
      </c>
      <c r="AG169">
        <v>0</v>
      </c>
      <c r="AH169">
        <v>0.35294117647058826</v>
      </c>
      <c r="AI169">
        <v>0.13333333333333333</v>
      </c>
      <c r="AJ169">
        <v>6.6666666666666666E-2</v>
      </c>
      <c r="AK169">
        <v>0</v>
      </c>
      <c r="AL169">
        <v>0</v>
      </c>
    </row>
    <row r="170" spans="1:38" x14ac:dyDescent="0.25">
      <c r="A170">
        <v>2025</v>
      </c>
      <c r="B170" t="s">
        <v>250</v>
      </c>
      <c r="C170" t="s">
        <v>68</v>
      </c>
      <c r="D170" t="str" cm="1">
        <f t="array" ref="D170">_xlfn.XLOOKUP(1,('26 WR'!A:A=E170)*('26 WR'!B:B=F170),'26 WR'!C:C)</f>
        <v>Theo Johnson</v>
      </c>
      <c r="E170" t="s">
        <v>28</v>
      </c>
      <c r="F170">
        <v>34</v>
      </c>
      <c r="G170">
        <v>206</v>
      </c>
      <c r="H170">
        <f>_xlfn.XLOOKUP($B170,'[1]FFPC TE'!$A$2:$A$46,'[1]FFPC TE'!B$2:B$46,,0)</f>
        <v>5</v>
      </c>
      <c r="I170">
        <f>_xlfn.XLOOKUP($B170,'[1]FFPC TE'!$A$2:$A$46,'[1]FFPC TE'!C$2:C$46,,0)</f>
        <v>4.9000000000000004</v>
      </c>
      <c r="J170">
        <f>_xlfn.XLOOKUP($B170,'[1]FFPC TE'!$A$2:$A$46,'[1]FFPC TE'!D$2:D$46,,0)</f>
        <v>0</v>
      </c>
      <c r="K170">
        <f>_xlfn.XLOOKUP($B170,'[1]FFPC TE'!$A$2:$A$46,'[1]FFPC TE'!E$2:E$46,,0)</f>
        <v>0</v>
      </c>
      <c r="L170">
        <f>_xlfn.XLOOKUP($B170,'[1]FFPC TE'!$A$2:$A$46,'[1]FFPC TE'!F$2:F$46,,0)</f>
        <v>4.5</v>
      </c>
      <c r="M170">
        <f>_xlfn.XLOOKUP($B170,'[1]FFPC TE'!$A$2:$A$46,'[1]FFPC TE'!G$2:G$46,,0)</f>
        <v>9.4</v>
      </c>
      <c r="N170">
        <f>_xlfn.XLOOKUP($B170,'[1]FFPC TE'!$A$2:$A$46,'[1]FFPC TE'!H$2:H$46,,0)</f>
        <v>0</v>
      </c>
      <c r="O170">
        <f>_xlfn.XLOOKUP($B170,'[1]FFPC TE'!$A$2:$A$46,'[1]FFPC TE'!I$2:I$46,,0)</f>
        <v>3</v>
      </c>
      <c r="P170">
        <f>_xlfn.XLOOKUP($B170,'[1]FFPC TE'!$A$2:$A$46,'[1]FFPC TE'!J$2:J$46,,0)</f>
        <v>4.5</v>
      </c>
      <c r="Q170">
        <f>_xlfn.XLOOKUP($B170,'[1]FFPC TE'!$A$2:$A$46,'[1]FFPC TE'!K$2:K$46,,0)</f>
        <v>8.1999999999999993</v>
      </c>
      <c r="R170">
        <f>_xlfn.XLOOKUP($B170,'[1]FFPC TE'!$A$2:$A$46,'[1]FFPC TE'!L$2:L$46,,0)</f>
        <v>3.8000000000000003</v>
      </c>
      <c r="S170">
        <f>_xlfn.XLOOKUP($B170,'[1]FFPC TE'!$A$2:$A$46,'[1]FFPC TE'!M$2:M$46,,0)</f>
        <v>6.2</v>
      </c>
      <c r="T170">
        <f>_xlfn.XLOOKUP($B170,'[1]FFPC TE'!$A$2:$A$46,'[1]FFPC TE'!N$2:N$46,,0)</f>
        <v>7.3000000000000007</v>
      </c>
      <c r="U170">
        <f>_xlfn.XLOOKUP($B170,'[1]FFPC TE'!$A$2:$A$46,'[1]FFPC TE'!O$2:O$46,,0)</f>
        <v>18.3</v>
      </c>
      <c r="V170">
        <f>_xlfn.XLOOKUP($B170,'[1]FFPC TE'!$A$2:$A$46,'[1]FFPC TE'!P$2:P$46,,0)</f>
        <v>20.2</v>
      </c>
      <c r="W170">
        <f>_xlfn.XLOOKUP($B170,'[1]FFPC TE'!$A$2:$A$46,'[1]FFPC TE'!Q$2:Q$46,,0)</f>
        <v>2.5</v>
      </c>
      <c r="X170">
        <f>_xlfn.XLOOKUP($B170,'[1]FFPC TE'!$A$2:$A$46,'[1]FFPC TE'!R$2:R$46,,0)</f>
        <v>10.5</v>
      </c>
      <c r="Y170">
        <f t="shared" si="2"/>
        <v>108.3</v>
      </c>
      <c r="Z170">
        <v>6.1</v>
      </c>
      <c r="AA170">
        <v>20</v>
      </c>
      <c r="AB170">
        <v>1</v>
      </c>
      <c r="AC170">
        <v>3</v>
      </c>
      <c r="AD170">
        <v>2</v>
      </c>
      <c r="AE170">
        <v>0</v>
      </c>
      <c r="AF170">
        <v>0</v>
      </c>
      <c r="AG170">
        <v>0</v>
      </c>
      <c r="AH170">
        <v>0.17647058823529413</v>
      </c>
      <c r="AI170">
        <v>0.11764705882352941</v>
      </c>
      <c r="AJ170">
        <v>0</v>
      </c>
      <c r="AK170">
        <v>0</v>
      </c>
      <c r="AL170">
        <v>0</v>
      </c>
    </row>
    <row r="171" spans="1:38" x14ac:dyDescent="0.25">
      <c r="A171">
        <v>2025</v>
      </c>
      <c r="B171" t="s">
        <v>252</v>
      </c>
      <c r="C171" t="s">
        <v>26</v>
      </c>
      <c r="D171" t="str" cm="1">
        <f t="array" ref="D171">_xlfn.XLOOKUP(1,('26 WR'!A:A=E171)*('26 WR'!B:B=F171),'26 WR'!C:C)</f>
        <v>Oscar Delp</v>
      </c>
      <c r="E171" t="s">
        <v>28</v>
      </c>
      <c r="F171">
        <v>35</v>
      </c>
      <c r="G171">
        <v>207</v>
      </c>
      <c r="H171">
        <f>_xlfn.XLOOKUP($B171,'[1]FFPC TE'!$A$2:$A$46,'[1]FFPC TE'!B$2:B$46,,0)</f>
        <v>12</v>
      </c>
      <c r="I171">
        <f>_xlfn.XLOOKUP($B171,'[1]FFPC TE'!$A$2:$A$46,'[1]FFPC TE'!C$2:C$46,,0)</f>
        <v>9.1</v>
      </c>
      <c r="J171">
        <f>_xlfn.XLOOKUP($B171,'[1]FFPC TE'!$A$2:$A$46,'[1]FFPC TE'!D$2:D$46,,0)</f>
        <v>5.0999999999999996</v>
      </c>
      <c r="K171">
        <f>_xlfn.XLOOKUP($B171,'[1]FFPC TE'!$A$2:$A$46,'[1]FFPC TE'!E$2:E$46,,0)</f>
        <v>16.3</v>
      </c>
      <c r="L171">
        <f>_xlfn.XLOOKUP($B171,'[1]FFPC TE'!$A$2:$A$46,'[1]FFPC TE'!F$2:F$46,,0)</f>
        <v>20.6</v>
      </c>
      <c r="M171">
        <f>_xlfn.XLOOKUP($B171,'[1]FFPC TE'!$A$2:$A$46,'[1]FFPC TE'!G$2:G$46,,0)</f>
        <v>14.8</v>
      </c>
      <c r="N171">
        <f>_xlfn.XLOOKUP($B171,'[1]FFPC TE'!$A$2:$A$46,'[1]FFPC TE'!H$2:H$46,,0)</f>
        <v>0</v>
      </c>
      <c r="O171">
        <f>_xlfn.XLOOKUP($B171,'[1]FFPC TE'!$A$2:$A$46,'[1]FFPC TE'!I$2:I$46,,0)</f>
        <v>7.7</v>
      </c>
      <c r="P171">
        <f>_xlfn.XLOOKUP($B171,'[1]FFPC TE'!$A$2:$A$46,'[1]FFPC TE'!J$2:J$46,,0)</f>
        <v>0</v>
      </c>
      <c r="Q171">
        <f>_xlfn.XLOOKUP($B171,'[1]FFPC TE'!$A$2:$A$46,'[1]FFPC TE'!K$2:K$46,,0)</f>
        <v>0</v>
      </c>
      <c r="R171">
        <f>_xlfn.XLOOKUP($B171,'[1]FFPC TE'!$A$2:$A$46,'[1]FFPC TE'!L$2:L$46,,0)</f>
        <v>0</v>
      </c>
      <c r="S171">
        <f>_xlfn.XLOOKUP($B171,'[1]FFPC TE'!$A$2:$A$46,'[1]FFPC TE'!M$2:M$46,,0)</f>
        <v>0</v>
      </c>
      <c r="T171">
        <f>_xlfn.XLOOKUP($B171,'[1]FFPC TE'!$A$2:$A$46,'[1]FFPC TE'!N$2:N$46,,0)</f>
        <v>0</v>
      </c>
      <c r="U171">
        <f>_xlfn.XLOOKUP($B171,'[1]FFPC TE'!$A$2:$A$46,'[1]FFPC TE'!O$2:O$46,,0)</f>
        <v>0</v>
      </c>
      <c r="V171">
        <f>_xlfn.XLOOKUP($B171,'[1]FFPC TE'!$A$2:$A$46,'[1]FFPC TE'!P$2:P$46,,0)</f>
        <v>0</v>
      </c>
      <c r="W171">
        <f>_xlfn.XLOOKUP($B171,'[1]FFPC TE'!$A$2:$A$46,'[1]FFPC TE'!Q$2:Q$46,,0)</f>
        <v>2.2000000000000002</v>
      </c>
      <c r="X171">
        <f>_xlfn.XLOOKUP($B171,'[1]FFPC TE'!$A$2:$A$46,'[1]FFPC TE'!R$2:R$46,,0)</f>
        <v>22.5</v>
      </c>
      <c r="Y171">
        <f t="shared" si="2"/>
        <v>110.30000000000001</v>
      </c>
      <c r="Z171">
        <v>5.8</v>
      </c>
      <c r="AA171">
        <v>20</v>
      </c>
      <c r="AB171">
        <v>1</v>
      </c>
      <c r="AC171">
        <v>5</v>
      </c>
      <c r="AD171">
        <v>2</v>
      </c>
      <c r="AE171">
        <v>0</v>
      </c>
      <c r="AF171">
        <v>0</v>
      </c>
      <c r="AG171">
        <v>0</v>
      </c>
      <c r="AH171">
        <v>0.29411764705882354</v>
      </c>
      <c r="AI171">
        <v>0.125</v>
      </c>
      <c r="AJ171">
        <v>0</v>
      </c>
      <c r="AK171">
        <v>0</v>
      </c>
      <c r="AL171">
        <v>0</v>
      </c>
    </row>
    <row r="172" spans="1:38" x14ac:dyDescent="0.25">
      <c r="A172">
        <v>2025</v>
      </c>
      <c r="B172" t="s">
        <v>324</v>
      </c>
      <c r="C172" t="s">
        <v>92</v>
      </c>
      <c r="D172" t="str" cm="1">
        <f t="array" ref="D172">_xlfn.XLOOKUP(1,('26 WR'!A:A=E172)*('26 WR'!B:B=F172),'26 WR'!C:C)</f>
        <v>Mike Gesicki</v>
      </c>
      <c r="E172" t="s">
        <v>28</v>
      </c>
      <c r="F172">
        <v>36</v>
      </c>
      <c r="G172">
        <v>215</v>
      </c>
      <c r="H172">
        <f>_xlfn.XLOOKUP($B172,'[1]FFPC TE'!$A$2:$A$46,'[1]FFPC TE'!B$2:B$46,,0)</f>
        <v>1.7</v>
      </c>
      <c r="I172">
        <f>_xlfn.XLOOKUP($B172,'[1]FFPC TE'!$A$2:$A$46,'[1]FFPC TE'!C$2:C$46,,0)</f>
        <v>6.5</v>
      </c>
      <c r="J172">
        <f>_xlfn.XLOOKUP($B172,'[1]FFPC TE'!$A$2:$A$46,'[1]FFPC TE'!D$2:D$46,,0)</f>
        <v>4.5999999999999996</v>
      </c>
      <c r="K172">
        <f>_xlfn.XLOOKUP($B172,'[1]FFPC TE'!$A$2:$A$46,'[1]FFPC TE'!E$2:E$46,,0)</f>
        <v>17.7</v>
      </c>
      <c r="L172">
        <f>_xlfn.XLOOKUP($B172,'[1]FFPC TE'!$A$2:$A$46,'[1]FFPC TE'!F$2:F$46,,0)</f>
        <v>2.2000000000000002</v>
      </c>
      <c r="M172">
        <f>_xlfn.XLOOKUP($B172,'[1]FFPC TE'!$A$2:$A$46,'[1]FFPC TE'!G$2:G$46,,0)</f>
        <v>9.9</v>
      </c>
      <c r="N172">
        <f>_xlfn.XLOOKUP($B172,'[1]FFPC TE'!$A$2:$A$46,'[1]FFPC TE'!H$2:H$46,,0)</f>
        <v>1.5</v>
      </c>
      <c r="O172">
        <f>_xlfn.XLOOKUP($B172,'[1]FFPC TE'!$A$2:$A$46,'[1]FFPC TE'!I$2:I$46,,0)</f>
        <v>1.9</v>
      </c>
      <c r="P172">
        <f>_xlfn.XLOOKUP($B172,'[1]FFPC TE'!$A$2:$A$46,'[1]FFPC TE'!J$2:J$46,,0)</f>
        <v>0</v>
      </c>
      <c r="Q172">
        <f>_xlfn.XLOOKUP($B172,'[1]FFPC TE'!$A$2:$A$46,'[1]FFPC TE'!K$2:K$46,,0)</f>
        <v>0</v>
      </c>
      <c r="R172">
        <f>_xlfn.XLOOKUP($B172,'[1]FFPC TE'!$A$2:$A$46,'[1]FFPC TE'!L$2:L$46,,0)</f>
        <v>6.9</v>
      </c>
      <c r="S172">
        <f>_xlfn.XLOOKUP($B172,'[1]FFPC TE'!$A$2:$A$46,'[1]FFPC TE'!M$2:M$46,,0)</f>
        <v>0</v>
      </c>
      <c r="T172">
        <f>_xlfn.XLOOKUP($B172,'[1]FFPC TE'!$A$2:$A$46,'[1]FFPC TE'!N$2:N$46,,0)</f>
        <v>1.7</v>
      </c>
      <c r="U172">
        <f>_xlfn.XLOOKUP($B172,'[1]FFPC TE'!$A$2:$A$46,'[1]FFPC TE'!O$2:O$46,,0)</f>
        <v>0</v>
      </c>
      <c r="V172">
        <f>_xlfn.XLOOKUP($B172,'[1]FFPC TE'!$A$2:$A$46,'[1]FFPC TE'!P$2:P$46,,0)</f>
        <v>4.3</v>
      </c>
      <c r="W172">
        <f>_xlfn.XLOOKUP($B172,'[1]FFPC TE'!$A$2:$A$46,'[1]FFPC TE'!Q$2:Q$46,,0)</f>
        <v>2.1</v>
      </c>
      <c r="X172">
        <f>_xlfn.XLOOKUP($B172,'[1]FFPC TE'!$A$2:$A$46,'[1]FFPC TE'!R$2:R$46,,0)</f>
        <v>2.1</v>
      </c>
      <c r="Y172">
        <f t="shared" si="2"/>
        <v>63.1</v>
      </c>
      <c r="Z172">
        <v>3.8</v>
      </c>
      <c r="AA172">
        <v>20</v>
      </c>
      <c r="AB172">
        <v>1</v>
      </c>
      <c r="AC172">
        <v>2</v>
      </c>
      <c r="AD172">
        <v>1</v>
      </c>
      <c r="AE172">
        <v>0</v>
      </c>
      <c r="AF172">
        <v>0</v>
      </c>
      <c r="AG172">
        <v>0</v>
      </c>
      <c r="AH172">
        <v>0.11764705882352941</v>
      </c>
      <c r="AI172">
        <v>5.8823529411764705E-2</v>
      </c>
      <c r="AJ172">
        <v>0</v>
      </c>
      <c r="AK172">
        <v>0</v>
      </c>
      <c r="AL172">
        <v>0</v>
      </c>
    </row>
    <row r="173" spans="1:38" x14ac:dyDescent="0.25">
      <c r="A173">
        <v>2025</v>
      </c>
      <c r="B173" t="s">
        <v>326</v>
      </c>
      <c r="C173" t="s">
        <v>49</v>
      </c>
      <c r="D173" t="str" cm="1">
        <f t="array" ref="D173">_xlfn.XLOOKUP(1,('26 WR'!A:A=E173)*('26 WR'!B:B=F173),'26 WR'!C:C)</f>
        <v>Greg Dulcich</v>
      </c>
      <c r="E173" t="s">
        <v>28</v>
      </c>
      <c r="F173">
        <v>37</v>
      </c>
      <c r="G173">
        <v>226</v>
      </c>
      <c r="H173">
        <f>_xlfn.XLOOKUP($B173,'[1]FFPC TE'!$A$2:$A$46,'[1]FFPC TE'!B$2:B$46,,0)</f>
        <v>8.8000000000000007</v>
      </c>
      <c r="I173">
        <f>_xlfn.XLOOKUP($B173,'[1]FFPC TE'!$A$2:$A$46,'[1]FFPC TE'!C$2:C$46,,0)</f>
        <v>8.3000000000000007</v>
      </c>
      <c r="J173">
        <f>_xlfn.XLOOKUP($B173,'[1]FFPC TE'!$A$2:$A$46,'[1]FFPC TE'!D$2:D$46,,0)</f>
        <v>1.8</v>
      </c>
      <c r="K173">
        <f>_xlfn.XLOOKUP($B173,'[1]FFPC TE'!$A$2:$A$46,'[1]FFPC TE'!E$2:E$46,,0)</f>
        <v>1.5</v>
      </c>
      <c r="L173">
        <f>_xlfn.XLOOKUP($B173,'[1]FFPC TE'!$A$2:$A$46,'[1]FFPC TE'!F$2:F$46,,0)</f>
        <v>5.4</v>
      </c>
      <c r="M173">
        <f>_xlfn.XLOOKUP($B173,'[1]FFPC TE'!$A$2:$A$46,'[1]FFPC TE'!G$2:G$46,,0)</f>
        <v>2.2000000000000002</v>
      </c>
      <c r="N173">
        <f>_xlfn.XLOOKUP($B173,'[1]FFPC TE'!$A$2:$A$46,'[1]FFPC TE'!H$2:H$46,,0)</f>
        <v>1.9</v>
      </c>
      <c r="O173">
        <f>_xlfn.XLOOKUP($B173,'[1]FFPC TE'!$A$2:$A$46,'[1]FFPC TE'!I$2:I$46,,0)</f>
        <v>0</v>
      </c>
      <c r="P173">
        <f>_xlfn.XLOOKUP($B173,'[1]FFPC TE'!$A$2:$A$46,'[1]FFPC TE'!J$2:J$46,,0)</f>
        <v>8.1999999999999993</v>
      </c>
      <c r="Q173">
        <f>_xlfn.XLOOKUP($B173,'[1]FFPC TE'!$A$2:$A$46,'[1]FFPC TE'!K$2:K$46,,0)</f>
        <v>9.8000000000000007</v>
      </c>
      <c r="R173">
        <f>_xlfn.XLOOKUP($B173,'[1]FFPC TE'!$A$2:$A$46,'[1]FFPC TE'!L$2:L$46,,0)</f>
        <v>0</v>
      </c>
      <c r="S173">
        <f>_xlfn.XLOOKUP($B173,'[1]FFPC TE'!$A$2:$A$46,'[1]FFPC TE'!M$2:M$46,,0)</f>
        <v>7.4</v>
      </c>
      <c r="T173">
        <f>_xlfn.XLOOKUP($B173,'[1]FFPC TE'!$A$2:$A$46,'[1]FFPC TE'!N$2:N$46,,0)</f>
        <v>1.9</v>
      </c>
      <c r="U173">
        <f>_xlfn.XLOOKUP($B173,'[1]FFPC TE'!$A$2:$A$46,'[1]FFPC TE'!O$2:O$46,,0)</f>
        <v>5.0999999999999996</v>
      </c>
      <c r="V173">
        <f>_xlfn.XLOOKUP($B173,'[1]FFPC TE'!$A$2:$A$46,'[1]FFPC TE'!P$2:P$46,,0)</f>
        <v>6.1</v>
      </c>
      <c r="W173">
        <f>_xlfn.XLOOKUP($B173,'[1]FFPC TE'!$A$2:$A$46,'[1]FFPC TE'!Q$2:Q$46,,0)</f>
        <v>6.4</v>
      </c>
      <c r="X173">
        <f>_xlfn.XLOOKUP($B173,'[1]FFPC TE'!$A$2:$A$46,'[1]FFPC TE'!R$2:R$46,,0)</f>
        <v>0</v>
      </c>
      <c r="Y173">
        <f t="shared" si="2"/>
        <v>74.800000000000011</v>
      </c>
      <c r="Z173">
        <v>3.7</v>
      </c>
      <c r="AA173">
        <v>20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2025</v>
      </c>
      <c r="B174" t="s">
        <v>328</v>
      </c>
      <c r="C174" t="s">
        <v>110</v>
      </c>
      <c r="D174" t="str" cm="1">
        <f t="array" ref="D174">_xlfn.XLOOKUP(1,('26 WR'!A:A=E174)*('26 WR'!B:B=F174),'26 WR'!C:C)</f>
        <v>Jake Tonges</v>
      </c>
      <c r="E174" t="s">
        <v>28</v>
      </c>
      <c r="F174">
        <v>38</v>
      </c>
      <c r="G174">
        <v>236</v>
      </c>
      <c r="H174">
        <f>_xlfn.XLOOKUP($B174,'[1]FFPC TE'!$A$2:$A$46,'[1]FFPC TE'!B$2:B$46,,0)</f>
        <v>4.5999999999999996</v>
      </c>
      <c r="I174">
        <f>_xlfn.XLOOKUP($B174,'[1]FFPC TE'!$A$2:$A$46,'[1]FFPC TE'!C$2:C$46,,0)</f>
        <v>5.9</v>
      </c>
      <c r="J174">
        <f>_xlfn.XLOOKUP($B174,'[1]FFPC TE'!$A$2:$A$46,'[1]FFPC TE'!D$2:D$46,,0)</f>
        <v>8.5</v>
      </c>
      <c r="K174">
        <f>_xlfn.XLOOKUP($B174,'[1]FFPC TE'!$A$2:$A$46,'[1]FFPC TE'!E$2:E$46,,0)</f>
        <v>9.1000000000000014</v>
      </c>
      <c r="L174">
        <f>_xlfn.XLOOKUP($B174,'[1]FFPC TE'!$A$2:$A$46,'[1]FFPC TE'!F$2:F$46,,0)</f>
        <v>0</v>
      </c>
      <c r="M174">
        <f>_xlfn.XLOOKUP($B174,'[1]FFPC TE'!$A$2:$A$46,'[1]FFPC TE'!G$2:G$46,,0)</f>
        <v>1.5</v>
      </c>
      <c r="N174">
        <f>_xlfn.XLOOKUP($B174,'[1]FFPC TE'!$A$2:$A$46,'[1]FFPC TE'!H$2:H$46,,0)</f>
        <v>3.1</v>
      </c>
      <c r="O174">
        <f>_xlfn.XLOOKUP($B174,'[1]FFPC TE'!$A$2:$A$46,'[1]FFPC TE'!I$2:I$46,,0)</f>
        <v>0</v>
      </c>
      <c r="P174">
        <f>_xlfn.XLOOKUP($B174,'[1]FFPC TE'!$A$2:$A$46,'[1]FFPC TE'!J$2:J$46,,0)</f>
        <v>2.5</v>
      </c>
      <c r="Q174">
        <f>_xlfn.XLOOKUP($B174,'[1]FFPC TE'!$A$2:$A$46,'[1]FFPC TE'!K$2:K$46,,0)</f>
        <v>2</v>
      </c>
      <c r="R174">
        <f>_xlfn.XLOOKUP($B174,'[1]FFPC TE'!$A$2:$A$46,'[1]FFPC TE'!L$2:L$46,,0)</f>
        <v>12</v>
      </c>
      <c r="S174">
        <f>_xlfn.XLOOKUP($B174,'[1]FFPC TE'!$A$2:$A$46,'[1]FFPC TE'!M$2:M$46,,0)</f>
        <v>1.8</v>
      </c>
      <c r="T174">
        <f>_xlfn.XLOOKUP($B174,'[1]FFPC TE'!$A$2:$A$46,'[1]FFPC TE'!N$2:N$46,,0)</f>
        <v>14.1</v>
      </c>
      <c r="U174">
        <f>_xlfn.XLOOKUP($B174,'[1]FFPC TE'!$A$2:$A$46,'[1]FFPC TE'!O$2:O$46,,0)</f>
        <v>7.2</v>
      </c>
      <c r="V174">
        <f>_xlfn.XLOOKUP($B174,'[1]FFPC TE'!$A$2:$A$46,'[1]FFPC TE'!P$2:P$46,,0)</f>
        <v>5.8000000000000007</v>
      </c>
      <c r="W174">
        <f>_xlfn.XLOOKUP($B174,'[1]FFPC TE'!$A$2:$A$46,'[1]FFPC TE'!Q$2:Q$46,,0)</f>
        <v>4.4000000000000004</v>
      </c>
      <c r="X174">
        <f>_xlfn.XLOOKUP($B174,'[1]FFPC TE'!$A$2:$A$46,'[1]FFPC TE'!R$2:R$46,,0)</f>
        <v>4.5999999999999996</v>
      </c>
      <c r="Y174">
        <f t="shared" si="2"/>
        <v>87.1</v>
      </c>
      <c r="Z174">
        <v>4.9000000000000004</v>
      </c>
      <c r="AA174">
        <v>20</v>
      </c>
      <c r="AB174">
        <v>1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5.8823529411764705E-2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2025</v>
      </c>
      <c r="B175" t="s">
        <v>331</v>
      </c>
      <c r="C175" t="s">
        <v>108</v>
      </c>
      <c r="D175" t="str" cm="1">
        <f t="array" ref="D175">_xlfn.XLOOKUP(1,('26 WR'!A:A=E175)*('26 WR'!B:B=F175),'26 WR'!C:C)</f>
        <v>Darnell Washington</v>
      </c>
      <c r="E175" t="s">
        <v>28</v>
      </c>
      <c r="F175">
        <v>39</v>
      </c>
      <c r="G175">
        <v>246</v>
      </c>
      <c r="H175">
        <f>_xlfn.XLOOKUP($B175,'[1]FFPC TE'!$A$2:$A$46,'[1]FFPC TE'!B$2:B$46,,0)</f>
        <v>0</v>
      </c>
      <c r="I175">
        <f>_xlfn.XLOOKUP($B175,'[1]FFPC TE'!$A$2:$A$46,'[1]FFPC TE'!C$2:C$46,,0)</f>
        <v>0</v>
      </c>
      <c r="J175">
        <f>_xlfn.XLOOKUP($B175,'[1]FFPC TE'!$A$2:$A$46,'[1]FFPC TE'!D$2:D$46,,0)</f>
        <v>0</v>
      </c>
      <c r="K175">
        <f>_xlfn.XLOOKUP($B175,'[1]FFPC TE'!$A$2:$A$46,'[1]FFPC TE'!E$2:E$46,,0)</f>
        <v>6.5</v>
      </c>
      <c r="L175">
        <f>_xlfn.XLOOKUP($B175,'[1]FFPC TE'!$A$2:$A$46,'[1]FFPC TE'!F$2:F$46,,0)</f>
        <v>0</v>
      </c>
      <c r="M175">
        <f>_xlfn.XLOOKUP($B175,'[1]FFPC TE'!$A$2:$A$46,'[1]FFPC TE'!G$2:G$46,,0)</f>
        <v>10.7</v>
      </c>
      <c r="N175">
        <f>_xlfn.XLOOKUP($B175,'[1]FFPC TE'!$A$2:$A$46,'[1]FFPC TE'!H$2:H$46,,0)</f>
        <v>10.7</v>
      </c>
      <c r="O175">
        <f>_xlfn.XLOOKUP($B175,'[1]FFPC TE'!$A$2:$A$46,'[1]FFPC TE'!I$2:I$46,,0)</f>
        <v>0</v>
      </c>
      <c r="P175">
        <f>_xlfn.XLOOKUP($B175,'[1]FFPC TE'!$A$2:$A$46,'[1]FFPC TE'!J$2:J$46,,0)</f>
        <v>10.3</v>
      </c>
      <c r="Q175">
        <f>_xlfn.XLOOKUP($B175,'[1]FFPC TE'!$A$2:$A$46,'[1]FFPC TE'!K$2:K$46,,0)</f>
        <v>3</v>
      </c>
      <c r="R175">
        <f>_xlfn.XLOOKUP($B175,'[1]FFPC TE'!$A$2:$A$46,'[1]FFPC TE'!L$2:L$46,,0)</f>
        <v>12.7</v>
      </c>
      <c r="S175">
        <f>_xlfn.XLOOKUP($B175,'[1]FFPC TE'!$A$2:$A$46,'[1]FFPC TE'!M$2:M$46,,0)</f>
        <v>5.2</v>
      </c>
      <c r="T175">
        <f>_xlfn.XLOOKUP($B175,'[1]FFPC TE'!$A$2:$A$46,'[1]FFPC TE'!N$2:N$46,,0)</f>
        <v>7.5</v>
      </c>
      <c r="U175">
        <f>_xlfn.XLOOKUP($B175,'[1]FFPC TE'!$A$2:$A$46,'[1]FFPC TE'!O$2:O$46,,0)</f>
        <v>2.7</v>
      </c>
      <c r="V175">
        <f>_xlfn.XLOOKUP($B175,'[1]FFPC TE'!$A$2:$A$46,'[1]FFPC TE'!P$2:P$46,,0)</f>
        <v>7</v>
      </c>
      <c r="W175">
        <f>_xlfn.XLOOKUP($B175,'[1]FFPC TE'!$A$2:$A$46,'[1]FFPC TE'!Q$2:Q$46,,0)</f>
        <v>8.1</v>
      </c>
      <c r="X175">
        <f>_xlfn.XLOOKUP($B175,'[1]FFPC TE'!$A$2:$A$46,'[1]FFPC TE'!R$2:R$46,,0)</f>
        <v>4.5</v>
      </c>
      <c r="Y175">
        <f t="shared" si="2"/>
        <v>88.9</v>
      </c>
      <c r="Z175">
        <v>4.5999999999999996</v>
      </c>
      <c r="AA175">
        <v>20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5.8823529411764705E-2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2025</v>
      </c>
      <c r="B176" t="s">
        <v>336</v>
      </c>
      <c r="C176" t="s">
        <v>21</v>
      </c>
      <c r="D176" t="str" cm="1">
        <f t="array" ref="D176">_xlfn.XLOOKUP(1,('26 WR'!A:A=E176)*('26 WR'!B:B=F176),'26 WR'!C:C)</f>
        <v>Max Klare</v>
      </c>
      <c r="E176" t="s">
        <v>28</v>
      </c>
      <c r="F176">
        <v>40</v>
      </c>
      <c r="G176">
        <v>257</v>
      </c>
      <c r="H176">
        <f>_xlfn.XLOOKUP($B176,'[1]FFPC TE'!$A$2:$A$46,'[1]FFPC TE'!B$2:B$46,,0)</f>
        <v>14.6</v>
      </c>
      <c r="I176">
        <f>_xlfn.XLOOKUP($B176,'[1]FFPC TE'!$A$2:$A$46,'[1]FFPC TE'!C$2:C$46,,0)</f>
        <v>7.3000000000000007</v>
      </c>
      <c r="J176">
        <f>_xlfn.XLOOKUP($B176,'[1]FFPC TE'!$A$2:$A$46,'[1]FFPC TE'!D$2:D$46,,0)</f>
        <v>10.1</v>
      </c>
      <c r="K176">
        <f>_xlfn.XLOOKUP($B176,'[1]FFPC TE'!$A$2:$A$46,'[1]FFPC TE'!E$2:E$46,,0)</f>
        <v>0</v>
      </c>
      <c r="L176">
        <f>_xlfn.XLOOKUP($B176,'[1]FFPC TE'!$A$2:$A$46,'[1]FFPC TE'!F$2:F$46,,0)</f>
        <v>0</v>
      </c>
      <c r="M176">
        <f>_xlfn.XLOOKUP($B176,'[1]FFPC TE'!$A$2:$A$46,'[1]FFPC TE'!G$2:G$46,,0)</f>
        <v>8.6999999999999993</v>
      </c>
      <c r="N176">
        <f>_xlfn.XLOOKUP($B176,'[1]FFPC TE'!$A$2:$A$46,'[1]FFPC TE'!H$2:H$46,,0)</f>
        <v>16.399999999999999</v>
      </c>
      <c r="O176">
        <f>_xlfn.XLOOKUP($B176,'[1]FFPC TE'!$A$2:$A$46,'[1]FFPC TE'!I$2:I$46,,0)</f>
        <v>8.6000000000000014</v>
      </c>
      <c r="P176">
        <f>_xlfn.XLOOKUP($B176,'[1]FFPC TE'!$A$2:$A$46,'[1]FFPC TE'!J$2:J$46,,0)</f>
        <v>11.8</v>
      </c>
      <c r="Q176">
        <f>_xlfn.XLOOKUP($B176,'[1]FFPC TE'!$A$2:$A$46,'[1]FFPC TE'!K$2:K$46,,0)</f>
        <v>0</v>
      </c>
      <c r="R176">
        <f>_xlfn.XLOOKUP($B176,'[1]FFPC TE'!$A$2:$A$46,'[1]FFPC TE'!L$2:L$46,,0)</f>
        <v>11.1</v>
      </c>
      <c r="S176">
        <f>_xlfn.XLOOKUP($B176,'[1]FFPC TE'!$A$2:$A$46,'[1]FFPC TE'!M$2:M$46,,0)</f>
        <v>2.4</v>
      </c>
      <c r="T176">
        <f>_xlfn.XLOOKUP($B176,'[1]FFPC TE'!$A$2:$A$46,'[1]FFPC TE'!N$2:N$46,,0)</f>
        <v>1.8</v>
      </c>
      <c r="U176">
        <f>_xlfn.XLOOKUP($B176,'[1]FFPC TE'!$A$2:$A$46,'[1]FFPC TE'!O$2:O$46,,0)</f>
        <v>3</v>
      </c>
      <c r="V176">
        <f>_xlfn.XLOOKUP($B176,'[1]FFPC TE'!$A$2:$A$46,'[1]FFPC TE'!P$2:P$46,,0)</f>
        <v>0</v>
      </c>
      <c r="W176">
        <f>_xlfn.XLOOKUP($B176,'[1]FFPC TE'!$A$2:$A$46,'[1]FFPC TE'!Q$2:Q$46,,0)</f>
        <v>0</v>
      </c>
      <c r="X176">
        <f>_xlfn.XLOOKUP($B176,'[1]FFPC TE'!$A$2:$A$46,'[1]FFPC TE'!R$2:R$46,,0)</f>
        <v>0</v>
      </c>
      <c r="Y176">
        <f t="shared" si="2"/>
        <v>95.8</v>
      </c>
      <c r="Z176">
        <v>5</v>
      </c>
      <c r="AA176">
        <v>20</v>
      </c>
      <c r="AB176">
        <v>1</v>
      </c>
      <c r="AC176">
        <v>3</v>
      </c>
      <c r="AD176">
        <v>0</v>
      </c>
      <c r="AE176">
        <v>0</v>
      </c>
      <c r="AF176">
        <v>0</v>
      </c>
      <c r="AG176">
        <v>0</v>
      </c>
      <c r="AH176">
        <v>0.17647058823529413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2025</v>
      </c>
      <c r="B177" t="s">
        <v>337</v>
      </c>
      <c r="C177" t="s">
        <v>114</v>
      </c>
      <c r="D177" t="str" cm="1">
        <f t="array" ref="D177">_xlfn.XLOOKUP(1,('26 WR'!A:A=E177)*('26 WR'!B:B=F177),'26 WR'!C:C)</f>
        <v>Tyler Higbee</v>
      </c>
      <c r="E177" t="s">
        <v>28</v>
      </c>
      <c r="F177">
        <v>41</v>
      </c>
      <c r="G177">
        <v>266</v>
      </c>
      <c r="H177">
        <f>_xlfn.XLOOKUP($B177,'[1]FFPC TE'!$A$2:$A$46,'[1]FFPC TE'!B$2:B$46,,0)</f>
        <v>3.1</v>
      </c>
      <c r="I177">
        <f>_xlfn.XLOOKUP($B177,'[1]FFPC TE'!$A$2:$A$46,'[1]FFPC TE'!C$2:C$46,,0)</f>
        <v>3.9</v>
      </c>
      <c r="J177">
        <f>_xlfn.XLOOKUP($B177,'[1]FFPC TE'!$A$2:$A$46,'[1]FFPC TE'!D$2:D$46,,0)</f>
        <v>7.2</v>
      </c>
      <c r="K177">
        <f>_xlfn.XLOOKUP($B177,'[1]FFPC TE'!$A$2:$A$46,'[1]FFPC TE'!E$2:E$46,,0)</f>
        <v>2.7</v>
      </c>
      <c r="L177">
        <f>_xlfn.XLOOKUP($B177,'[1]FFPC TE'!$A$2:$A$46,'[1]FFPC TE'!F$2:F$46,,0)</f>
        <v>9.4</v>
      </c>
      <c r="M177">
        <f>_xlfn.XLOOKUP($B177,'[1]FFPC TE'!$A$2:$A$46,'[1]FFPC TE'!G$2:G$46,,0)</f>
        <v>4.5</v>
      </c>
      <c r="N177">
        <f>_xlfn.XLOOKUP($B177,'[1]FFPC TE'!$A$2:$A$46,'[1]FFPC TE'!H$2:H$46,,0)</f>
        <v>9.6</v>
      </c>
      <c r="O177">
        <f>_xlfn.XLOOKUP($B177,'[1]FFPC TE'!$A$2:$A$46,'[1]FFPC TE'!I$2:I$46,,0)</f>
        <v>11.3</v>
      </c>
      <c r="P177">
        <f>_xlfn.XLOOKUP($B177,'[1]FFPC TE'!$A$2:$A$46,'[1]FFPC TE'!J$2:J$46,,0)</f>
        <v>3</v>
      </c>
      <c r="Q177">
        <f>_xlfn.XLOOKUP($B177,'[1]FFPC TE'!$A$2:$A$46,'[1]FFPC TE'!K$2:K$46,,0)</f>
        <v>0</v>
      </c>
      <c r="R177">
        <f>_xlfn.XLOOKUP($B177,'[1]FFPC TE'!$A$2:$A$46,'[1]FFPC TE'!L$2:L$46,,0)</f>
        <v>8.9</v>
      </c>
      <c r="S177">
        <f>_xlfn.XLOOKUP($B177,'[1]FFPC TE'!$A$2:$A$46,'[1]FFPC TE'!M$2:M$46,,0)</f>
        <v>14.100000000000001</v>
      </c>
      <c r="T177">
        <f>_xlfn.XLOOKUP($B177,'[1]FFPC TE'!$A$2:$A$46,'[1]FFPC TE'!N$2:N$46,,0)</f>
        <v>11.3</v>
      </c>
      <c r="U177">
        <f>_xlfn.XLOOKUP($B177,'[1]FFPC TE'!$A$2:$A$46,'[1]FFPC TE'!O$2:O$46,,0)</f>
        <v>2.2999999999999998</v>
      </c>
      <c r="V177">
        <f>_xlfn.XLOOKUP($B177,'[1]FFPC TE'!$A$2:$A$46,'[1]FFPC TE'!P$2:P$46,,0)</f>
        <v>16.899999999999999</v>
      </c>
      <c r="W177">
        <f>_xlfn.XLOOKUP($B177,'[1]FFPC TE'!$A$2:$A$46,'[1]FFPC TE'!Q$2:Q$46,,0)</f>
        <v>3.9</v>
      </c>
      <c r="X177">
        <f>_xlfn.XLOOKUP($B177,'[1]FFPC TE'!$A$2:$A$46,'[1]FFPC TE'!R$2:R$46,,0)</f>
        <v>1.6</v>
      </c>
      <c r="Y177">
        <f t="shared" si="2"/>
        <v>113.69999999999999</v>
      </c>
      <c r="Z177">
        <v>5.7</v>
      </c>
      <c r="AA177">
        <v>20</v>
      </c>
      <c r="AB177">
        <v>1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0.17647058823529413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2025</v>
      </c>
      <c r="B178" t="s">
        <v>343</v>
      </c>
      <c r="C178" t="s">
        <v>59</v>
      </c>
      <c r="D178" t="str" cm="1">
        <f t="array" ref="D178">_xlfn.XLOOKUP(1,('26 WR'!A:A=E178)*('26 WR'!B:B=F178),'26 WR'!C:C)</f>
        <v>Noah Gray</v>
      </c>
      <c r="E178" t="s">
        <v>28</v>
      </c>
      <c r="F178">
        <v>42</v>
      </c>
      <c r="G178">
        <v>276</v>
      </c>
      <c r="H178">
        <f>_xlfn.XLOOKUP($B178,'[1]FFPC TE'!$A$2:$A$46,'[1]FFPC TE'!B$2:B$46,,0)</f>
        <v>0</v>
      </c>
      <c r="I178">
        <f>_xlfn.XLOOKUP($B178,'[1]FFPC TE'!$A$2:$A$46,'[1]FFPC TE'!C$2:C$46,,0)</f>
        <v>0</v>
      </c>
      <c r="J178">
        <f>_xlfn.XLOOKUP($B178,'[1]FFPC TE'!$A$2:$A$46,'[1]FFPC TE'!D$2:D$46,,0)</f>
        <v>0</v>
      </c>
      <c r="K178">
        <f>_xlfn.XLOOKUP($B178,'[1]FFPC TE'!$A$2:$A$46,'[1]FFPC TE'!E$2:E$46,,0)</f>
        <v>0</v>
      </c>
      <c r="L178">
        <f>_xlfn.XLOOKUP($B178,'[1]FFPC TE'!$A$2:$A$46,'[1]FFPC TE'!F$2:F$46,,0)</f>
        <v>0</v>
      </c>
      <c r="M178">
        <f>_xlfn.XLOOKUP($B178,'[1]FFPC TE'!$A$2:$A$46,'[1]FFPC TE'!G$2:G$46,,0)</f>
        <v>0</v>
      </c>
      <c r="N178">
        <f>_xlfn.XLOOKUP($B178,'[1]FFPC TE'!$A$2:$A$46,'[1]FFPC TE'!H$2:H$46,,0)</f>
        <v>0</v>
      </c>
      <c r="O178">
        <f>_xlfn.XLOOKUP($B178,'[1]FFPC TE'!$A$2:$A$46,'[1]FFPC TE'!I$2:I$46,,0)</f>
        <v>0</v>
      </c>
      <c r="P178">
        <f>_xlfn.XLOOKUP($B178,'[1]FFPC TE'!$A$2:$A$46,'[1]FFPC TE'!J$2:J$46,,0)</f>
        <v>12.4</v>
      </c>
      <c r="Q178">
        <f>_xlfn.XLOOKUP($B178,'[1]FFPC TE'!$A$2:$A$46,'[1]FFPC TE'!K$2:K$46,,0)</f>
        <v>3.7</v>
      </c>
      <c r="R178">
        <f>_xlfn.XLOOKUP($B178,'[1]FFPC TE'!$A$2:$A$46,'[1]FFPC TE'!L$2:L$46,,0)</f>
        <v>4.8</v>
      </c>
      <c r="S178">
        <f>_xlfn.XLOOKUP($B178,'[1]FFPC TE'!$A$2:$A$46,'[1]FFPC TE'!M$2:M$46,,0)</f>
        <v>0</v>
      </c>
      <c r="T178">
        <f>_xlfn.XLOOKUP($B178,'[1]FFPC TE'!$A$2:$A$46,'[1]FFPC TE'!N$2:N$46,,0)</f>
        <v>5.4</v>
      </c>
      <c r="U178">
        <f>_xlfn.XLOOKUP($B178,'[1]FFPC TE'!$A$2:$A$46,'[1]FFPC TE'!O$2:O$46,,0)</f>
        <v>8.6000000000000014</v>
      </c>
      <c r="V178">
        <f>_xlfn.XLOOKUP($B178,'[1]FFPC TE'!$A$2:$A$46,'[1]FFPC TE'!P$2:P$46,,0)</f>
        <v>7.6000000000000005</v>
      </c>
      <c r="W178">
        <f>_xlfn.XLOOKUP($B178,'[1]FFPC TE'!$A$2:$A$46,'[1]FFPC TE'!Q$2:Q$46,,0)</f>
        <v>9.1000000000000014</v>
      </c>
      <c r="X178">
        <f>_xlfn.XLOOKUP($B178,'[1]FFPC TE'!$A$2:$A$46,'[1]FFPC TE'!R$2:R$46,,0)</f>
        <v>19.3</v>
      </c>
      <c r="Y178">
        <f t="shared" si="2"/>
        <v>70.900000000000006</v>
      </c>
      <c r="Z178">
        <v>6.3</v>
      </c>
      <c r="AA178">
        <v>20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0</v>
      </c>
      <c r="AH178">
        <v>5.8823529411764705E-2</v>
      </c>
      <c r="AI178">
        <v>0.1</v>
      </c>
      <c r="AJ178">
        <v>0</v>
      </c>
      <c r="AK178">
        <v>0</v>
      </c>
      <c r="AL178">
        <v>0</v>
      </c>
    </row>
    <row r="179" spans="1:38" x14ac:dyDescent="0.25">
      <c r="A179">
        <v>2025</v>
      </c>
      <c r="B179" t="s">
        <v>344</v>
      </c>
      <c r="C179" t="s">
        <v>65</v>
      </c>
      <c r="D179" t="str" cm="1">
        <f t="array" ref="D179">_xlfn.XLOOKUP(1,('26 WR'!A:A=E179)*('26 WR'!B:B=F179),'26 WR'!C:C)</f>
        <v>Elijah Arroyo</v>
      </c>
      <c r="E179" t="s">
        <v>28</v>
      </c>
      <c r="F179">
        <v>43</v>
      </c>
      <c r="G179">
        <v>284</v>
      </c>
      <c r="H179">
        <f>_xlfn.XLOOKUP($B179,'[1]FFPC TE'!$A$2:$A$46,'[1]FFPC TE'!B$2:B$46,,0)</f>
        <v>0</v>
      </c>
      <c r="I179">
        <f>_xlfn.XLOOKUP($B179,'[1]FFPC TE'!$A$2:$A$46,'[1]FFPC TE'!C$2:C$46,,0)</f>
        <v>0</v>
      </c>
      <c r="J179">
        <f>_xlfn.XLOOKUP($B179,'[1]FFPC TE'!$A$2:$A$46,'[1]FFPC TE'!D$2:D$46,,0)</f>
        <v>12.100000000000001</v>
      </c>
      <c r="K179">
        <f>_xlfn.XLOOKUP($B179,'[1]FFPC TE'!$A$2:$A$46,'[1]FFPC TE'!E$2:E$46,,0)</f>
        <v>4.5999999999999996</v>
      </c>
      <c r="L179">
        <f>_xlfn.XLOOKUP($B179,'[1]FFPC TE'!$A$2:$A$46,'[1]FFPC TE'!F$2:F$46,,0)</f>
        <v>2.9000000000000004</v>
      </c>
      <c r="M179">
        <f>_xlfn.XLOOKUP($B179,'[1]FFPC TE'!$A$2:$A$46,'[1]FFPC TE'!G$2:G$46,,0)</f>
        <v>17.3</v>
      </c>
      <c r="N179">
        <f>_xlfn.XLOOKUP($B179,'[1]FFPC TE'!$A$2:$A$46,'[1]FFPC TE'!H$2:H$46,,0)</f>
        <v>32.900000000000006</v>
      </c>
      <c r="O179">
        <f>_xlfn.XLOOKUP($B179,'[1]FFPC TE'!$A$2:$A$46,'[1]FFPC TE'!I$2:I$46,,0)</f>
        <v>21.2</v>
      </c>
      <c r="P179">
        <f>_xlfn.XLOOKUP($B179,'[1]FFPC TE'!$A$2:$A$46,'[1]FFPC TE'!J$2:J$46,,0)</f>
        <v>14.3</v>
      </c>
      <c r="Q179">
        <f>_xlfn.XLOOKUP($B179,'[1]FFPC TE'!$A$2:$A$46,'[1]FFPC TE'!K$2:K$46,,0)</f>
        <v>5.8</v>
      </c>
      <c r="R179">
        <f>_xlfn.XLOOKUP($B179,'[1]FFPC TE'!$A$2:$A$46,'[1]FFPC TE'!L$2:L$46,,0)</f>
        <v>7.1000000000000005</v>
      </c>
      <c r="S179">
        <f>_xlfn.XLOOKUP($B179,'[1]FFPC TE'!$A$2:$A$46,'[1]FFPC TE'!M$2:M$46,,0)</f>
        <v>0</v>
      </c>
      <c r="T179">
        <f>_xlfn.XLOOKUP($B179,'[1]FFPC TE'!$A$2:$A$46,'[1]FFPC TE'!N$2:N$46,,0)</f>
        <v>4.2</v>
      </c>
      <c r="U179">
        <f>_xlfn.XLOOKUP($B179,'[1]FFPC TE'!$A$2:$A$46,'[1]FFPC TE'!O$2:O$46,,0)</f>
        <v>2.2000000000000002</v>
      </c>
      <c r="V179">
        <f>_xlfn.XLOOKUP($B179,'[1]FFPC TE'!$A$2:$A$46,'[1]FFPC TE'!P$2:P$46,,0)</f>
        <v>12.100000000000001</v>
      </c>
      <c r="W179">
        <f>_xlfn.XLOOKUP($B179,'[1]FFPC TE'!$A$2:$A$46,'[1]FFPC TE'!Q$2:Q$46,,0)</f>
        <v>2.2000000000000002</v>
      </c>
      <c r="X179">
        <f>_xlfn.XLOOKUP($B179,'[1]FFPC TE'!$A$2:$A$46,'[1]FFPC TE'!R$2:R$46,,0)</f>
        <v>13.7</v>
      </c>
      <c r="Y179">
        <f t="shared" si="2"/>
        <v>152.6</v>
      </c>
      <c r="Z179">
        <v>8.8000000000000007</v>
      </c>
      <c r="AA179">
        <v>20</v>
      </c>
      <c r="AB179">
        <v>1</v>
      </c>
      <c r="AC179">
        <v>6</v>
      </c>
      <c r="AD179">
        <v>2</v>
      </c>
      <c r="AE179">
        <v>1</v>
      </c>
      <c r="AF179">
        <v>1</v>
      </c>
      <c r="AG179">
        <v>0</v>
      </c>
      <c r="AH179">
        <v>0.35294117647058826</v>
      </c>
      <c r="AI179">
        <v>0.13333333333333333</v>
      </c>
      <c r="AJ179">
        <v>6.6666666666666666E-2</v>
      </c>
      <c r="AK179">
        <v>6.6666666666666666E-2</v>
      </c>
      <c r="AL179">
        <v>0</v>
      </c>
    </row>
    <row r="180" spans="1:38" x14ac:dyDescent="0.25">
      <c r="A180">
        <v>2025</v>
      </c>
      <c r="B180" t="s">
        <v>345</v>
      </c>
      <c r="C180" t="s">
        <v>29</v>
      </c>
      <c r="D180" t="str" cm="1">
        <f t="array" ref="D180">_xlfn.XLOOKUP(1,('26 WR'!A:A=E180)*('26 WR'!B:B=F180),'26 WR'!C:C)</f>
        <v>Michael Mayer</v>
      </c>
      <c r="E180" t="s">
        <v>28</v>
      </c>
      <c r="F180">
        <v>44</v>
      </c>
      <c r="G180">
        <v>290</v>
      </c>
      <c r="H180">
        <f>_xlfn.XLOOKUP($B180,'[1]FFPC TE'!$A$2:$A$46,'[1]FFPC TE'!B$2:B$46,,0)</f>
        <v>9.8000000000000007</v>
      </c>
      <c r="I180">
        <f>_xlfn.XLOOKUP($B180,'[1]FFPC TE'!$A$2:$A$46,'[1]FFPC TE'!C$2:C$46,,0)</f>
        <v>3.9</v>
      </c>
      <c r="J180">
        <f>_xlfn.XLOOKUP($B180,'[1]FFPC TE'!$A$2:$A$46,'[1]FFPC TE'!D$2:D$46,,0)</f>
        <v>0</v>
      </c>
      <c r="K180">
        <f>_xlfn.XLOOKUP($B180,'[1]FFPC TE'!$A$2:$A$46,'[1]FFPC TE'!E$2:E$46,,0)</f>
        <v>0</v>
      </c>
      <c r="L180">
        <f>_xlfn.XLOOKUP($B180,'[1]FFPC TE'!$A$2:$A$46,'[1]FFPC TE'!F$2:F$46,,0)</f>
        <v>0</v>
      </c>
      <c r="M180">
        <f>_xlfn.XLOOKUP($B180,'[1]FFPC TE'!$A$2:$A$46,'[1]FFPC TE'!G$2:G$46,,0)</f>
        <v>18.5</v>
      </c>
      <c r="N180">
        <f>_xlfn.XLOOKUP($B180,'[1]FFPC TE'!$A$2:$A$46,'[1]FFPC TE'!H$2:H$46,,0)</f>
        <v>2.5</v>
      </c>
      <c r="O180">
        <f>_xlfn.XLOOKUP($B180,'[1]FFPC TE'!$A$2:$A$46,'[1]FFPC TE'!I$2:I$46,,0)</f>
        <v>0</v>
      </c>
      <c r="P180">
        <f>_xlfn.XLOOKUP($B180,'[1]FFPC TE'!$A$2:$A$46,'[1]FFPC TE'!J$2:J$46,,0)</f>
        <v>7.1</v>
      </c>
      <c r="Q180">
        <f>_xlfn.XLOOKUP($B180,'[1]FFPC TE'!$A$2:$A$46,'[1]FFPC TE'!K$2:K$46,,0)</f>
        <v>6.7</v>
      </c>
      <c r="R180">
        <f>_xlfn.XLOOKUP($B180,'[1]FFPC TE'!$A$2:$A$46,'[1]FFPC TE'!L$2:L$46,,0)</f>
        <v>5.8</v>
      </c>
      <c r="S180">
        <f>_xlfn.XLOOKUP($B180,'[1]FFPC TE'!$A$2:$A$46,'[1]FFPC TE'!M$2:M$46,,0)</f>
        <v>2.9000000000000004</v>
      </c>
      <c r="T180">
        <f>_xlfn.XLOOKUP($B180,'[1]FFPC TE'!$A$2:$A$46,'[1]FFPC TE'!N$2:N$46,,0)</f>
        <v>0</v>
      </c>
      <c r="U180">
        <f>_xlfn.XLOOKUP($B180,'[1]FFPC TE'!$A$2:$A$46,'[1]FFPC TE'!O$2:O$46,,0)</f>
        <v>0</v>
      </c>
      <c r="V180">
        <f>_xlfn.XLOOKUP($B180,'[1]FFPC TE'!$A$2:$A$46,'[1]FFPC TE'!P$2:P$46,,0)</f>
        <v>0</v>
      </c>
      <c r="W180">
        <f>_xlfn.XLOOKUP($B180,'[1]FFPC TE'!$A$2:$A$46,'[1]FFPC TE'!Q$2:Q$46,,0)</f>
        <v>2.5</v>
      </c>
      <c r="X180">
        <f>_xlfn.XLOOKUP($B180,'[1]FFPC TE'!$A$2:$A$46,'[1]FFPC TE'!R$2:R$46,,0)</f>
        <v>22.4</v>
      </c>
      <c r="Y180">
        <f t="shared" si="2"/>
        <v>82.1</v>
      </c>
      <c r="Z180">
        <v>5.7</v>
      </c>
      <c r="AA180">
        <v>20</v>
      </c>
      <c r="AB180">
        <v>1</v>
      </c>
      <c r="AC180">
        <v>2</v>
      </c>
      <c r="AD180">
        <v>2</v>
      </c>
      <c r="AE180">
        <v>0</v>
      </c>
      <c r="AF180">
        <v>0</v>
      </c>
      <c r="AG180">
        <v>0</v>
      </c>
      <c r="AH180">
        <v>0.11764705882352941</v>
      </c>
      <c r="AI180">
        <v>0.15384615384615385</v>
      </c>
      <c r="AJ180">
        <v>0</v>
      </c>
      <c r="AK180">
        <v>0</v>
      </c>
      <c r="AL180">
        <v>0</v>
      </c>
    </row>
    <row r="181" spans="1:38" x14ac:dyDescent="0.25">
      <c r="A181">
        <v>2025</v>
      </c>
      <c r="B181" t="s">
        <v>346</v>
      </c>
      <c r="C181" t="s">
        <v>74</v>
      </c>
      <c r="D181" t="str" cm="1">
        <f t="array" ref="D181">_xlfn.XLOOKUP(1,('26 WR'!A:A=E181)*('26 WR'!B:B=F181),'26 WR'!C:C)</f>
        <v>Ja'Tavion Sanders</v>
      </c>
      <c r="E181" t="s">
        <v>28</v>
      </c>
      <c r="F181">
        <v>45</v>
      </c>
      <c r="G181">
        <v>296</v>
      </c>
      <c r="H181">
        <f>_xlfn.XLOOKUP($B181,'[1]FFPC TE'!$A$2:$A$46,'[1]FFPC TE'!B$2:B$46,,0)</f>
        <v>1.5</v>
      </c>
      <c r="I181">
        <f>_xlfn.XLOOKUP($B181,'[1]FFPC TE'!$A$2:$A$46,'[1]FFPC TE'!C$2:C$46,,0)</f>
        <v>11.6</v>
      </c>
      <c r="J181">
        <f>_xlfn.XLOOKUP($B181,'[1]FFPC TE'!$A$2:$A$46,'[1]FFPC TE'!D$2:D$46,,0)</f>
        <v>3.8000000000000003</v>
      </c>
      <c r="K181">
        <f>_xlfn.XLOOKUP($B181,'[1]FFPC TE'!$A$2:$A$46,'[1]FFPC TE'!E$2:E$46,,0)</f>
        <v>13.7</v>
      </c>
      <c r="L181">
        <f>_xlfn.XLOOKUP($B181,'[1]FFPC TE'!$A$2:$A$46,'[1]FFPC TE'!F$2:F$46,,0)</f>
        <v>27.8</v>
      </c>
      <c r="M181">
        <f>_xlfn.XLOOKUP($B181,'[1]FFPC TE'!$A$2:$A$46,'[1]FFPC TE'!G$2:G$46,,0)</f>
        <v>11.600000000000001</v>
      </c>
      <c r="N181">
        <f>_xlfn.XLOOKUP($B181,'[1]FFPC TE'!$A$2:$A$46,'[1]FFPC TE'!H$2:H$46,,0)</f>
        <v>0</v>
      </c>
      <c r="O181">
        <f>_xlfn.XLOOKUP($B181,'[1]FFPC TE'!$A$2:$A$46,'[1]FFPC TE'!I$2:I$46,,0)</f>
        <v>0</v>
      </c>
      <c r="P181">
        <f>_xlfn.XLOOKUP($B181,'[1]FFPC TE'!$A$2:$A$46,'[1]FFPC TE'!J$2:J$46,,0)</f>
        <v>6.9</v>
      </c>
      <c r="Q181">
        <f>_xlfn.XLOOKUP($B181,'[1]FFPC TE'!$A$2:$A$46,'[1]FFPC TE'!K$2:K$46,,0)</f>
        <v>0</v>
      </c>
      <c r="R181">
        <f>_xlfn.XLOOKUP($B181,'[1]FFPC TE'!$A$2:$A$46,'[1]FFPC TE'!L$2:L$46,,0)</f>
        <v>22</v>
      </c>
      <c r="S181">
        <f>_xlfn.XLOOKUP($B181,'[1]FFPC TE'!$A$2:$A$46,'[1]FFPC TE'!M$2:M$46,,0)</f>
        <v>4.8</v>
      </c>
      <c r="T181">
        <f>_xlfn.XLOOKUP($B181,'[1]FFPC TE'!$A$2:$A$46,'[1]FFPC TE'!N$2:N$46,,0)</f>
        <v>9.5</v>
      </c>
      <c r="U181">
        <f>_xlfn.XLOOKUP($B181,'[1]FFPC TE'!$A$2:$A$46,'[1]FFPC TE'!O$2:O$46,,0)</f>
        <v>7.2</v>
      </c>
      <c r="V181">
        <f>_xlfn.XLOOKUP($B181,'[1]FFPC TE'!$A$2:$A$46,'[1]FFPC TE'!P$2:P$46,,0)</f>
        <v>7.2</v>
      </c>
      <c r="W181">
        <f>_xlfn.XLOOKUP($B181,'[1]FFPC TE'!$A$2:$A$46,'[1]FFPC TE'!Q$2:Q$46,,0)</f>
        <v>16.899999999999999</v>
      </c>
      <c r="X181">
        <f>_xlfn.XLOOKUP($B181,'[1]FFPC TE'!$A$2:$A$46,'[1]FFPC TE'!R$2:R$46,,0)</f>
        <v>14.8</v>
      </c>
      <c r="Y181">
        <f t="shared" si="2"/>
        <v>159.30000000000001</v>
      </c>
      <c r="Z181">
        <v>8.6999999999999993</v>
      </c>
      <c r="AA181">
        <v>20</v>
      </c>
      <c r="AB181">
        <v>1</v>
      </c>
      <c r="AC181">
        <v>8</v>
      </c>
      <c r="AD181">
        <v>2</v>
      </c>
      <c r="AE181">
        <v>1</v>
      </c>
      <c r="AF181">
        <v>0</v>
      </c>
      <c r="AG181">
        <v>0</v>
      </c>
      <c r="AH181">
        <v>0.47058823529411764</v>
      </c>
      <c r="AI181">
        <v>0.11764705882352941</v>
      </c>
      <c r="AJ181">
        <v>5.8823529411764705E-2</v>
      </c>
      <c r="AK181">
        <v>0</v>
      </c>
      <c r="AL181">
        <v>0</v>
      </c>
    </row>
    <row r="182" spans="1:38" x14ac:dyDescent="0.25">
      <c r="A182">
        <v>2025</v>
      </c>
      <c r="B182" t="s">
        <v>19</v>
      </c>
      <c r="C182" t="s">
        <v>21</v>
      </c>
      <c r="D182" t="str" cm="1">
        <f t="array" ref="D182">_xlfn.XLOOKUP(1,('26 WR'!A:A=E182)*('26 WR'!B:B=F182),'26 WR'!C:C)</f>
        <v>Ja'Marr Chase</v>
      </c>
      <c r="E182" t="s">
        <v>20</v>
      </c>
      <c r="F182">
        <v>1</v>
      </c>
      <c r="G182">
        <v>1</v>
      </c>
      <c r="H182">
        <v>4.5999999999999996</v>
      </c>
      <c r="I182">
        <v>36.5</v>
      </c>
      <c r="J182">
        <v>8.9</v>
      </c>
      <c r="K182">
        <v>7.3</v>
      </c>
      <c r="L182">
        <v>29</v>
      </c>
      <c r="M182">
        <v>25.1</v>
      </c>
      <c r="N182">
        <v>38.1</v>
      </c>
      <c r="O182">
        <v>21.1</v>
      </c>
      <c r="P182">
        <v>17.100000000000001</v>
      </c>
      <c r="Q182">
        <v>0</v>
      </c>
      <c r="R182">
        <v>6</v>
      </c>
      <c r="S182">
        <v>0</v>
      </c>
      <c r="T182">
        <v>18</v>
      </c>
      <c r="U182">
        <v>10.199999999999999</v>
      </c>
      <c r="V182">
        <v>23.2</v>
      </c>
      <c r="W182">
        <v>19.899999999999999</v>
      </c>
      <c r="X182">
        <v>25</v>
      </c>
      <c r="Y182">
        <f t="shared" si="2"/>
        <v>289.99999999999994</v>
      </c>
      <c r="Z182">
        <v>19.600000000000001</v>
      </c>
      <c r="AA182">
        <v>1</v>
      </c>
      <c r="AB182">
        <v>1</v>
      </c>
      <c r="AC182">
        <v>12</v>
      </c>
      <c r="AD182">
        <v>11</v>
      </c>
      <c r="AE182">
        <v>8</v>
      </c>
      <c r="AF182">
        <v>4</v>
      </c>
      <c r="AG182">
        <v>2</v>
      </c>
      <c r="AH182">
        <v>0.70588235294117652</v>
      </c>
      <c r="AI182">
        <v>0.6875</v>
      </c>
      <c r="AJ182">
        <v>0.5</v>
      </c>
      <c r="AK182">
        <v>0.25</v>
      </c>
      <c r="AL182">
        <v>0.125</v>
      </c>
    </row>
    <row r="183" spans="1:38" x14ac:dyDescent="0.25">
      <c r="A183">
        <v>2025</v>
      </c>
      <c r="B183" t="s">
        <v>30</v>
      </c>
      <c r="C183" t="s">
        <v>31</v>
      </c>
      <c r="D183" t="str" cm="1">
        <f t="array" ref="D183">_xlfn.XLOOKUP(1,('26 WR'!A:A=E183)*('26 WR'!B:B=F183),'26 WR'!C:C)</f>
        <v>Puka Nacua</v>
      </c>
      <c r="E183" t="s">
        <v>20</v>
      </c>
      <c r="F183">
        <v>2</v>
      </c>
      <c r="G183">
        <v>7</v>
      </c>
      <c r="H183">
        <v>14.8</v>
      </c>
      <c r="I183">
        <v>11.1</v>
      </c>
      <c r="J183">
        <v>12.5</v>
      </c>
      <c r="K183">
        <v>22.6</v>
      </c>
      <c r="L183">
        <v>19.3</v>
      </c>
      <c r="M183">
        <v>0</v>
      </c>
      <c r="N183">
        <v>12.9</v>
      </c>
      <c r="O183">
        <v>14.4</v>
      </c>
      <c r="P183">
        <v>16.7</v>
      </c>
      <c r="Q183">
        <v>7.7</v>
      </c>
      <c r="R183">
        <v>11.1</v>
      </c>
      <c r="S183">
        <v>8.8000000000000007</v>
      </c>
      <c r="T183">
        <v>2.4</v>
      </c>
      <c r="U183">
        <v>3.1</v>
      </c>
      <c r="V183">
        <v>4.2</v>
      </c>
      <c r="W183">
        <v>14.5</v>
      </c>
      <c r="X183">
        <v>7</v>
      </c>
      <c r="Y183">
        <f t="shared" si="2"/>
        <v>183.1</v>
      </c>
      <c r="Z183">
        <v>11.9</v>
      </c>
      <c r="AA183">
        <v>1</v>
      </c>
      <c r="AB183">
        <v>1</v>
      </c>
      <c r="AC183">
        <v>11</v>
      </c>
      <c r="AD183">
        <v>4</v>
      </c>
      <c r="AE183">
        <v>1</v>
      </c>
      <c r="AF183">
        <v>0</v>
      </c>
      <c r="AG183">
        <v>0</v>
      </c>
      <c r="AH183">
        <v>0.6470588235294118</v>
      </c>
      <c r="AI183">
        <v>0.23529411764705882</v>
      </c>
      <c r="AJ183">
        <v>5.8823529411764705E-2</v>
      </c>
      <c r="AK183">
        <v>0</v>
      </c>
      <c r="AL183">
        <v>0</v>
      </c>
    </row>
    <row r="184" spans="1:38" x14ac:dyDescent="0.25">
      <c r="A184">
        <v>2025</v>
      </c>
      <c r="B184" t="s">
        <v>34</v>
      </c>
      <c r="C184" t="s">
        <v>35</v>
      </c>
      <c r="D184" t="str" cm="1">
        <f t="array" ref="D184">_xlfn.XLOOKUP(1,('26 WR'!A:A=E184)*('26 WR'!B:B=F184),'26 WR'!C:C)</f>
        <v>Jaxon Smith-Njigba</v>
      </c>
      <c r="E184" t="s">
        <v>20</v>
      </c>
      <c r="F184">
        <v>3</v>
      </c>
      <c r="G184">
        <v>9</v>
      </c>
      <c r="H184">
        <v>18</v>
      </c>
      <c r="I184">
        <v>20.2</v>
      </c>
      <c r="J184">
        <v>0</v>
      </c>
      <c r="K184">
        <v>0</v>
      </c>
      <c r="L184">
        <v>0</v>
      </c>
      <c r="M184">
        <v>0</v>
      </c>
      <c r="N184">
        <v>22</v>
      </c>
      <c r="O184">
        <v>14.6</v>
      </c>
      <c r="P184">
        <v>15.5</v>
      </c>
      <c r="Q184">
        <v>0</v>
      </c>
      <c r="R184">
        <v>17.600000000000001</v>
      </c>
      <c r="S184">
        <v>11.5</v>
      </c>
      <c r="T184">
        <v>24.2</v>
      </c>
      <c r="U184">
        <v>18.100000000000001</v>
      </c>
      <c r="V184">
        <v>17.100000000000001</v>
      </c>
      <c r="W184">
        <v>11.1</v>
      </c>
      <c r="X184">
        <v>9.6</v>
      </c>
      <c r="Y184">
        <f t="shared" si="2"/>
        <v>199.49999999999997</v>
      </c>
      <c r="Z184">
        <v>14.4</v>
      </c>
      <c r="AA184">
        <v>1</v>
      </c>
      <c r="AB184">
        <v>1</v>
      </c>
      <c r="AC184">
        <v>11</v>
      </c>
      <c r="AD184">
        <v>8</v>
      </c>
      <c r="AE184">
        <v>3</v>
      </c>
      <c r="AF184">
        <v>0</v>
      </c>
      <c r="AG184">
        <v>0</v>
      </c>
      <c r="AH184">
        <v>0.6470588235294118</v>
      </c>
      <c r="AI184">
        <v>0.5714285714285714</v>
      </c>
      <c r="AJ184">
        <v>0.21428571428571427</v>
      </c>
      <c r="AK184">
        <v>0</v>
      </c>
      <c r="AL184">
        <v>0</v>
      </c>
    </row>
    <row r="185" spans="1:38" x14ac:dyDescent="0.25">
      <c r="A185">
        <v>2025</v>
      </c>
      <c r="B185" t="s">
        <v>38</v>
      </c>
      <c r="C185" t="s">
        <v>39</v>
      </c>
      <c r="D185" t="str" cm="1">
        <f t="array" ref="D185">_xlfn.XLOOKUP(1,('26 WR'!A:A=E185)*('26 WR'!B:B=F185),'26 WR'!C:C)</f>
        <v>Amon-Ra St. Brown</v>
      </c>
      <c r="E185" t="s">
        <v>20</v>
      </c>
      <c r="F185">
        <v>4</v>
      </c>
      <c r="G185">
        <v>12</v>
      </c>
      <c r="H185">
        <v>5.5</v>
      </c>
      <c r="I185">
        <v>14.2</v>
      </c>
      <c r="J185">
        <v>22.4</v>
      </c>
      <c r="K185">
        <v>11.9</v>
      </c>
      <c r="L185">
        <v>16</v>
      </c>
      <c r="M185">
        <v>0</v>
      </c>
      <c r="N185">
        <v>6.7</v>
      </c>
      <c r="O185">
        <v>0</v>
      </c>
      <c r="P185">
        <v>14.5</v>
      </c>
      <c r="Q185">
        <v>22.6</v>
      </c>
      <c r="R185">
        <v>24.2</v>
      </c>
      <c r="S185">
        <v>8.5</v>
      </c>
      <c r="T185">
        <v>21.5</v>
      </c>
      <c r="U185">
        <v>16.100000000000001</v>
      </c>
      <c r="V185">
        <v>23.5</v>
      </c>
      <c r="W185">
        <v>9.9</v>
      </c>
      <c r="X185">
        <v>8.6999999999999993</v>
      </c>
      <c r="Y185">
        <f t="shared" si="2"/>
        <v>226.2</v>
      </c>
      <c r="Z185">
        <v>15.1</v>
      </c>
      <c r="AA185">
        <v>1</v>
      </c>
      <c r="AB185">
        <v>1</v>
      </c>
      <c r="AC185">
        <v>10</v>
      </c>
      <c r="AD185">
        <v>7</v>
      </c>
      <c r="AE185">
        <v>5</v>
      </c>
      <c r="AF185">
        <v>0</v>
      </c>
      <c r="AG185">
        <v>0</v>
      </c>
      <c r="AH185">
        <v>0.58823529411764708</v>
      </c>
      <c r="AI185">
        <v>0.46666666666666667</v>
      </c>
      <c r="AJ185">
        <v>0.33333333333333331</v>
      </c>
      <c r="AK185">
        <v>0</v>
      </c>
      <c r="AL185">
        <v>0</v>
      </c>
    </row>
    <row r="186" spans="1:38" x14ac:dyDescent="0.25">
      <c r="A186">
        <v>2025</v>
      </c>
      <c r="B186" t="s">
        <v>42</v>
      </c>
      <c r="C186" t="s">
        <v>43</v>
      </c>
      <c r="D186" t="str" cm="1">
        <f t="array" ref="D186">_xlfn.XLOOKUP(1,('26 WR'!A:A=E186)*('26 WR'!B:B=F186),'26 WR'!C:C)</f>
        <v>CeeDee Lamb</v>
      </c>
      <c r="E186" t="s">
        <v>20</v>
      </c>
      <c r="F186">
        <v>5</v>
      </c>
      <c r="G186">
        <v>15</v>
      </c>
      <c r="H186">
        <v>12.1</v>
      </c>
      <c r="I186">
        <v>37.700000000000003</v>
      </c>
      <c r="J186">
        <v>3.3</v>
      </c>
      <c r="K186">
        <v>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f t="shared" si="2"/>
        <v>57.1</v>
      </c>
      <c r="Z186">
        <v>14.3</v>
      </c>
      <c r="AA186">
        <v>1</v>
      </c>
      <c r="AB186">
        <v>1</v>
      </c>
      <c r="AC186">
        <v>2</v>
      </c>
      <c r="AD186">
        <v>1</v>
      </c>
      <c r="AE186">
        <v>1</v>
      </c>
      <c r="AF186">
        <v>1</v>
      </c>
      <c r="AG186">
        <v>1</v>
      </c>
      <c r="AH186">
        <v>0.11764705882352941</v>
      </c>
      <c r="AI186">
        <v>0.25</v>
      </c>
      <c r="AJ186">
        <v>0.25</v>
      </c>
      <c r="AK186">
        <v>0.25</v>
      </c>
      <c r="AL186">
        <v>0.25</v>
      </c>
    </row>
    <row r="187" spans="1:38" x14ac:dyDescent="0.25">
      <c r="A187">
        <v>2025</v>
      </c>
      <c r="B187" t="s">
        <v>46</v>
      </c>
      <c r="C187" t="s">
        <v>37</v>
      </c>
      <c r="D187" t="str" cm="1">
        <f t="array" ref="D187">_xlfn.XLOOKUP(1,('26 WR'!A:A=E187)*('26 WR'!B:B=F187),'26 WR'!C:C)</f>
        <v>Justin Jefferson</v>
      </c>
      <c r="E187" t="s">
        <v>20</v>
      </c>
      <c r="F187">
        <v>6</v>
      </c>
      <c r="G187">
        <v>18</v>
      </c>
      <c r="H187">
        <v>8.5</v>
      </c>
      <c r="I187">
        <v>39.200000000000003</v>
      </c>
      <c r="J187">
        <v>20.7</v>
      </c>
      <c r="K187">
        <v>26</v>
      </c>
      <c r="L187">
        <v>18</v>
      </c>
      <c r="M187">
        <v>13.7</v>
      </c>
      <c r="N187">
        <v>20.6</v>
      </c>
      <c r="O187">
        <v>0</v>
      </c>
      <c r="P187">
        <v>18.7</v>
      </c>
      <c r="Q187">
        <v>16.8</v>
      </c>
      <c r="R187">
        <v>6.2</v>
      </c>
      <c r="S187">
        <v>29.9</v>
      </c>
      <c r="T187">
        <v>0</v>
      </c>
      <c r="U187">
        <v>15.2</v>
      </c>
      <c r="V187">
        <v>41.4</v>
      </c>
      <c r="W187">
        <v>9.4</v>
      </c>
      <c r="X187">
        <v>14.8</v>
      </c>
      <c r="Y187">
        <f t="shared" si="2"/>
        <v>299.09999999999997</v>
      </c>
      <c r="Z187">
        <v>19.100000000000001</v>
      </c>
      <c r="AA187">
        <v>1</v>
      </c>
      <c r="AB187">
        <v>1</v>
      </c>
      <c r="AC187">
        <v>13</v>
      </c>
      <c r="AD187">
        <v>11</v>
      </c>
      <c r="AE187">
        <v>7</v>
      </c>
      <c r="AF187">
        <v>4</v>
      </c>
      <c r="AG187">
        <v>2</v>
      </c>
      <c r="AH187">
        <v>0.76470588235294112</v>
      </c>
      <c r="AI187">
        <v>0.6470588235294118</v>
      </c>
      <c r="AJ187">
        <v>0.41176470588235292</v>
      </c>
      <c r="AK187">
        <v>0.23529411764705882</v>
      </c>
      <c r="AL187">
        <v>0.11764705882352941</v>
      </c>
    </row>
    <row r="188" spans="1:38" x14ac:dyDescent="0.25">
      <c r="A188">
        <v>2025</v>
      </c>
      <c r="B188" t="s">
        <v>48</v>
      </c>
      <c r="C188" t="s">
        <v>49</v>
      </c>
      <c r="D188" t="str" cm="1">
        <f t="array" ref="D188">_xlfn.XLOOKUP(1,('26 WR'!A:A=E188)*('26 WR'!B:B=F188),'26 WR'!C:C)</f>
        <v>Drake London</v>
      </c>
      <c r="E188" t="s">
        <v>20</v>
      </c>
      <c r="F188">
        <v>7</v>
      </c>
      <c r="G188">
        <v>21</v>
      </c>
      <c r="H188">
        <v>23.1</v>
      </c>
      <c r="I188">
        <v>27.6</v>
      </c>
      <c r="J188">
        <v>22.8</v>
      </c>
      <c r="K188">
        <v>36</v>
      </c>
      <c r="L188">
        <v>24.5</v>
      </c>
      <c r="M188">
        <v>4.8</v>
      </c>
      <c r="N188">
        <v>0</v>
      </c>
      <c r="O188">
        <v>0</v>
      </c>
      <c r="P188">
        <v>22.8</v>
      </c>
      <c r="Q188">
        <v>17.399999999999999</v>
      </c>
      <c r="R188">
        <v>14.3</v>
      </c>
      <c r="S188">
        <v>16.7</v>
      </c>
      <c r="T188">
        <v>13.2</v>
      </c>
      <c r="U188">
        <v>35.700000000000003</v>
      </c>
      <c r="V188">
        <v>27.9</v>
      </c>
      <c r="W188">
        <v>46.5</v>
      </c>
      <c r="X188">
        <v>15.7</v>
      </c>
      <c r="Y188">
        <f t="shared" si="2"/>
        <v>349</v>
      </c>
      <c r="Z188">
        <v>23.4</v>
      </c>
      <c r="AA188">
        <v>2</v>
      </c>
      <c r="AB188">
        <v>1</v>
      </c>
      <c r="AC188">
        <v>15</v>
      </c>
      <c r="AD188">
        <v>13</v>
      </c>
      <c r="AE188">
        <v>10</v>
      </c>
      <c r="AF188">
        <v>6</v>
      </c>
      <c r="AG188">
        <v>3</v>
      </c>
      <c r="AH188">
        <v>0.88235294117647056</v>
      </c>
      <c r="AI188">
        <v>0.8125</v>
      </c>
      <c r="AJ188">
        <v>0.625</v>
      </c>
      <c r="AK188">
        <v>0.375</v>
      </c>
      <c r="AL188">
        <v>0.1875</v>
      </c>
    </row>
    <row r="189" spans="1:38" x14ac:dyDescent="0.25">
      <c r="A189">
        <v>2025</v>
      </c>
      <c r="B189" t="s">
        <v>50</v>
      </c>
      <c r="C189" t="s">
        <v>51</v>
      </c>
      <c r="D189" t="str" cm="1">
        <f t="array" ref="D189">_xlfn.XLOOKUP(1,('26 WR'!A:A=E189)*('26 WR'!B:B=F189),'26 WR'!C:C)</f>
        <v>Nico Collins</v>
      </c>
      <c r="E189" t="s">
        <v>20</v>
      </c>
      <c r="F189">
        <v>8</v>
      </c>
      <c r="G189">
        <v>22</v>
      </c>
      <c r="H189">
        <v>9</v>
      </c>
      <c r="I189">
        <v>8.9</v>
      </c>
      <c r="J189">
        <v>7.5</v>
      </c>
      <c r="K189">
        <v>10.6</v>
      </c>
      <c r="L189">
        <v>12</v>
      </c>
      <c r="M189">
        <v>23</v>
      </c>
      <c r="N189">
        <v>6.1</v>
      </c>
      <c r="O189">
        <v>0</v>
      </c>
      <c r="P189">
        <v>8.5</v>
      </c>
      <c r="Q189">
        <v>0</v>
      </c>
      <c r="R189">
        <v>0</v>
      </c>
      <c r="S189">
        <v>0</v>
      </c>
      <c r="T189">
        <v>4.8</v>
      </c>
      <c r="U189">
        <v>11.7</v>
      </c>
      <c r="V189">
        <v>17.100000000000001</v>
      </c>
      <c r="W189">
        <v>3.8</v>
      </c>
      <c r="X189">
        <v>7.9</v>
      </c>
      <c r="Y189">
        <f t="shared" si="2"/>
        <v>130.89999999999998</v>
      </c>
      <c r="Z189">
        <v>9.9</v>
      </c>
      <c r="AA189">
        <v>2</v>
      </c>
      <c r="AB189">
        <v>1</v>
      </c>
      <c r="AC189">
        <v>5</v>
      </c>
      <c r="AD189">
        <v>2</v>
      </c>
      <c r="AE189">
        <v>1</v>
      </c>
      <c r="AF189">
        <v>0</v>
      </c>
      <c r="AG189">
        <v>0</v>
      </c>
      <c r="AH189">
        <v>0.29411764705882354</v>
      </c>
      <c r="AI189">
        <v>0.14285714285714285</v>
      </c>
      <c r="AJ189">
        <v>7.1428571428571425E-2</v>
      </c>
      <c r="AK189">
        <v>0</v>
      </c>
      <c r="AL189">
        <v>0</v>
      </c>
    </row>
    <row r="190" spans="1:38" x14ac:dyDescent="0.25">
      <c r="A190">
        <v>2025</v>
      </c>
      <c r="B190" t="s">
        <v>53</v>
      </c>
      <c r="C190" t="s">
        <v>24</v>
      </c>
      <c r="D190" t="str" cm="1">
        <f t="array" ref="D190">_xlfn.XLOOKUP(1,('26 WR'!A:A=E190)*('26 WR'!B:B=F190),'26 WR'!C:C)</f>
        <v>A.J. Brown</v>
      </c>
      <c r="E190" t="s">
        <v>20</v>
      </c>
      <c r="F190">
        <v>9</v>
      </c>
      <c r="G190">
        <v>24</v>
      </c>
      <c r="H190">
        <v>13.5</v>
      </c>
      <c r="I190">
        <v>5.9</v>
      </c>
      <c r="J190">
        <v>10.5</v>
      </c>
      <c r="K190">
        <v>25</v>
      </c>
      <c r="L190">
        <v>0</v>
      </c>
      <c r="M190">
        <v>31.8</v>
      </c>
      <c r="N190">
        <v>8.1999999999999993</v>
      </c>
      <c r="O190">
        <v>0</v>
      </c>
      <c r="P190">
        <v>38.799999999999997</v>
      </c>
      <c r="Q190">
        <v>24.4</v>
      </c>
      <c r="R190">
        <v>18.899999999999999</v>
      </c>
      <c r="S190">
        <v>0</v>
      </c>
      <c r="T190">
        <v>0</v>
      </c>
      <c r="U190">
        <v>0</v>
      </c>
      <c r="V190">
        <v>0</v>
      </c>
      <c r="W190">
        <v>5.7</v>
      </c>
      <c r="X190">
        <v>1.4</v>
      </c>
      <c r="Y190">
        <f t="shared" si="2"/>
        <v>184.1</v>
      </c>
      <c r="Z190">
        <v>16.8</v>
      </c>
      <c r="AA190">
        <v>2</v>
      </c>
      <c r="AB190">
        <v>1</v>
      </c>
      <c r="AC190">
        <v>8</v>
      </c>
      <c r="AD190">
        <v>6</v>
      </c>
      <c r="AE190">
        <v>4</v>
      </c>
      <c r="AF190">
        <v>2</v>
      </c>
      <c r="AG190">
        <v>2</v>
      </c>
      <c r="AH190">
        <v>0.47058823529411764</v>
      </c>
      <c r="AI190">
        <v>0.5</v>
      </c>
      <c r="AJ190">
        <v>0.33333333333333331</v>
      </c>
      <c r="AK190">
        <v>0.16666666666666666</v>
      </c>
      <c r="AL190">
        <v>0.16666666666666666</v>
      </c>
    </row>
    <row r="191" spans="1:38" x14ac:dyDescent="0.25">
      <c r="A191">
        <v>2025</v>
      </c>
      <c r="B191" t="s">
        <v>62</v>
      </c>
      <c r="C191" t="s">
        <v>33</v>
      </c>
      <c r="D191" t="str" cm="1">
        <f t="array" ref="D191">_xlfn.XLOOKUP(1,('26 WR'!A:A=E191)*('26 WR'!B:B=F191),'26 WR'!C:C)</f>
        <v>George Pickens</v>
      </c>
      <c r="E191" t="s">
        <v>20</v>
      </c>
      <c r="F191">
        <v>10</v>
      </c>
      <c r="G191">
        <v>30</v>
      </c>
      <c r="H191">
        <v>1.8</v>
      </c>
      <c r="I191">
        <v>7.7</v>
      </c>
      <c r="J191">
        <v>22.9</v>
      </c>
      <c r="K191">
        <v>2.7</v>
      </c>
      <c r="L191">
        <v>9.3000000000000007</v>
      </c>
      <c r="M191">
        <v>14</v>
      </c>
      <c r="N191">
        <v>28.1</v>
      </c>
      <c r="O191">
        <v>0</v>
      </c>
      <c r="P191">
        <v>0</v>
      </c>
      <c r="Q191">
        <v>3.3</v>
      </c>
      <c r="R191">
        <v>11.9</v>
      </c>
      <c r="S191">
        <v>25</v>
      </c>
      <c r="T191">
        <v>35.200000000000003</v>
      </c>
      <c r="U191">
        <v>16</v>
      </c>
      <c r="V191">
        <v>12.1</v>
      </c>
      <c r="W191">
        <v>18.5</v>
      </c>
      <c r="X191">
        <v>11.8</v>
      </c>
      <c r="Y191">
        <f t="shared" si="2"/>
        <v>220.3</v>
      </c>
      <c r="Z191">
        <v>14.7</v>
      </c>
      <c r="AA191">
        <v>2</v>
      </c>
      <c r="AB191">
        <v>1</v>
      </c>
      <c r="AC191">
        <v>10</v>
      </c>
      <c r="AD191">
        <v>6</v>
      </c>
      <c r="AE191">
        <v>4</v>
      </c>
      <c r="AF191">
        <v>2</v>
      </c>
      <c r="AG191">
        <v>1</v>
      </c>
      <c r="AH191">
        <v>0.58823529411764708</v>
      </c>
      <c r="AI191">
        <v>0.4</v>
      </c>
      <c r="AJ191">
        <v>0.26666666666666666</v>
      </c>
      <c r="AK191">
        <v>0.13333333333333333</v>
      </c>
      <c r="AL191">
        <v>6.6666666666666666E-2</v>
      </c>
    </row>
    <row r="192" spans="1:38" x14ac:dyDescent="0.25">
      <c r="A192">
        <v>2025</v>
      </c>
      <c r="B192" t="s">
        <v>64</v>
      </c>
      <c r="C192" t="s">
        <v>65</v>
      </c>
      <c r="D192" t="str" cm="1">
        <f t="array" ref="D192">_xlfn.XLOOKUP(1,('26 WR'!A:A=E192)*('26 WR'!B:B=F192),'26 WR'!C:C)</f>
        <v>Chris Olave</v>
      </c>
      <c r="E192" t="s">
        <v>20</v>
      </c>
      <c r="F192">
        <v>11</v>
      </c>
      <c r="G192">
        <v>33</v>
      </c>
      <c r="H192">
        <v>13.4</v>
      </c>
      <c r="I192">
        <v>9.8000000000000007</v>
      </c>
      <c r="J192">
        <v>8.1</v>
      </c>
      <c r="K192">
        <v>2.1</v>
      </c>
      <c r="L192">
        <v>14.9</v>
      </c>
      <c r="M192">
        <v>23</v>
      </c>
      <c r="N192">
        <v>15.7</v>
      </c>
      <c r="O192">
        <v>20.8</v>
      </c>
      <c r="P192">
        <v>9.6</v>
      </c>
      <c r="Q192">
        <v>20.7</v>
      </c>
      <c r="R192">
        <v>4.3</v>
      </c>
      <c r="S192">
        <v>0</v>
      </c>
      <c r="T192">
        <v>13.9</v>
      </c>
      <c r="U192">
        <v>2.2000000000000002</v>
      </c>
      <c r="V192">
        <v>4</v>
      </c>
      <c r="W192">
        <v>14.3</v>
      </c>
      <c r="X192">
        <v>4.0999999999999996</v>
      </c>
      <c r="Y192">
        <f t="shared" si="2"/>
        <v>180.9</v>
      </c>
      <c r="Z192">
        <v>11.3</v>
      </c>
      <c r="AA192">
        <v>2</v>
      </c>
      <c r="AB192">
        <v>1</v>
      </c>
      <c r="AC192">
        <v>8</v>
      </c>
      <c r="AD192">
        <v>4</v>
      </c>
      <c r="AE192">
        <v>3</v>
      </c>
      <c r="AF192">
        <v>0</v>
      </c>
      <c r="AG192">
        <v>0</v>
      </c>
      <c r="AH192">
        <v>0.47058823529411764</v>
      </c>
      <c r="AI192">
        <v>0.25</v>
      </c>
      <c r="AJ192">
        <v>0.1875</v>
      </c>
      <c r="AK192">
        <v>0</v>
      </c>
      <c r="AL192">
        <v>0</v>
      </c>
    </row>
    <row r="193" spans="1:38" x14ac:dyDescent="0.25">
      <c r="A193">
        <v>2025</v>
      </c>
      <c r="B193" t="s">
        <v>69</v>
      </c>
      <c r="C193" t="s">
        <v>21</v>
      </c>
      <c r="D193" t="str" cm="1">
        <f t="array" ref="D193">_xlfn.XLOOKUP(1,('26 WR'!A:A=E193)*('26 WR'!B:B=F193),'26 WR'!C:C)</f>
        <v>Rashee Rice</v>
      </c>
      <c r="E193" t="s">
        <v>20</v>
      </c>
      <c r="F193">
        <v>12</v>
      </c>
      <c r="G193">
        <v>35</v>
      </c>
      <c r="H193">
        <v>6.3</v>
      </c>
      <c r="I193">
        <v>14.6</v>
      </c>
      <c r="J193">
        <v>2.5</v>
      </c>
      <c r="K193">
        <v>6.2</v>
      </c>
      <c r="L193">
        <v>11.2</v>
      </c>
      <c r="M193">
        <v>11.2</v>
      </c>
      <c r="N193">
        <v>21.6</v>
      </c>
      <c r="O193">
        <v>11.4</v>
      </c>
      <c r="P193">
        <v>33.1</v>
      </c>
      <c r="Q193">
        <v>0</v>
      </c>
      <c r="R193">
        <v>15.3</v>
      </c>
      <c r="S193">
        <v>8.1</v>
      </c>
      <c r="T193">
        <v>0</v>
      </c>
      <c r="U193">
        <v>27.2</v>
      </c>
      <c r="V193">
        <v>0</v>
      </c>
      <c r="W193">
        <v>14.3</v>
      </c>
      <c r="X193">
        <v>9.9</v>
      </c>
      <c r="Y193">
        <f t="shared" si="2"/>
        <v>192.9</v>
      </c>
      <c r="Z193">
        <v>14.1</v>
      </c>
      <c r="AA193">
        <v>3</v>
      </c>
      <c r="AB193">
        <v>1</v>
      </c>
      <c r="AC193">
        <v>10</v>
      </c>
      <c r="AD193">
        <v>5</v>
      </c>
      <c r="AE193">
        <v>3</v>
      </c>
      <c r="AF193">
        <v>2</v>
      </c>
      <c r="AG193">
        <v>1</v>
      </c>
      <c r="AH193">
        <v>0.58823529411764708</v>
      </c>
      <c r="AI193">
        <v>0.33333333333333331</v>
      </c>
      <c r="AJ193">
        <v>0.2</v>
      </c>
      <c r="AK193">
        <v>0.13333333333333333</v>
      </c>
      <c r="AL193">
        <v>6.6666666666666666E-2</v>
      </c>
    </row>
    <row r="194" spans="1:38" x14ac:dyDescent="0.25">
      <c r="A194">
        <v>2025</v>
      </c>
      <c r="B194" t="s">
        <v>73</v>
      </c>
      <c r="C194" t="s">
        <v>74</v>
      </c>
      <c r="D194" t="str" cm="1">
        <f t="array" ref="D194">_xlfn.XLOOKUP(1,('26 WR'!A:A=E194)*('26 WR'!B:B=F194),'26 WR'!C:C)</f>
        <v>DeVonta Smith</v>
      </c>
      <c r="E194" t="s">
        <v>20</v>
      </c>
      <c r="F194">
        <v>13</v>
      </c>
      <c r="G194">
        <v>40</v>
      </c>
      <c r="H194">
        <v>19.399999999999999</v>
      </c>
      <c r="I194">
        <v>18.3</v>
      </c>
      <c r="J194">
        <v>20.6</v>
      </c>
      <c r="K194">
        <v>13</v>
      </c>
      <c r="L194">
        <v>27.2</v>
      </c>
      <c r="M194">
        <v>30.2</v>
      </c>
      <c r="N194">
        <v>26.3</v>
      </c>
      <c r="O194">
        <v>0</v>
      </c>
      <c r="P194">
        <v>22</v>
      </c>
      <c r="Q194">
        <v>20.3</v>
      </c>
      <c r="R194">
        <v>20.6</v>
      </c>
      <c r="S194">
        <v>37.1</v>
      </c>
      <c r="T194">
        <v>4.3</v>
      </c>
      <c r="U194">
        <v>28.1</v>
      </c>
      <c r="V194">
        <v>18.3</v>
      </c>
      <c r="W194">
        <v>23.6</v>
      </c>
      <c r="X194">
        <v>16.2</v>
      </c>
      <c r="Y194">
        <f t="shared" ref="Y194:Y257" si="3">SUM(H194:X194)</f>
        <v>345.50000000000006</v>
      </c>
      <c r="Z194">
        <v>21.2</v>
      </c>
      <c r="AA194">
        <v>3</v>
      </c>
      <c r="AB194">
        <v>1</v>
      </c>
      <c r="AC194">
        <v>16</v>
      </c>
      <c r="AD194">
        <v>14</v>
      </c>
      <c r="AE194">
        <v>10</v>
      </c>
      <c r="AF194">
        <v>5</v>
      </c>
      <c r="AG194">
        <v>2</v>
      </c>
      <c r="AH194">
        <v>0.94117647058823528</v>
      </c>
      <c r="AI194">
        <v>0.82352941176470584</v>
      </c>
      <c r="AJ194">
        <v>0.58823529411764708</v>
      </c>
      <c r="AK194">
        <v>0.29411764705882354</v>
      </c>
      <c r="AL194">
        <v>0.11764705882352941</v>
      </c>
    </row>
    <row r="195" spans="1:38" x14ac:dyDescent="0.25">
      <c r="A195">
        <v>2025</v>
      </c>
      <c r="B195" t="s">
        <v>75</v>
      </c>
      <c r="C195" t="s">
        <v>57</v>
      </c>
      <c r="D195" t="str" cm="1">
        <f t="array" ref="D195">_xlfn.XLOOKUP(1,('26 WR'!A:A=E195)*('26 WR'!B:B=F195),'26 WR'!C:C)</f>
        <v>Tetairoa McMillan</v>
      </c>
      <c r="E195" t="s">
        <v>20</v>
      </c>
      <c r="F195">
        <v>14</v>
      </c>
      <c r="G195">
        <v>42</v>
      </c>
      <c r="H195">
        <v>10.1</v>
      </c>
      <c r="I195">
        <v>10.6</v>
      </c>
      <c r="J195">
        <v>13.3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19.2</v>
      </c>
      <c r="W195">
        <v>14.1</v>
      </c>
      <c r="X195">
        <v>12.1</v>
      </c>
      <c r="Y195">
        <f t="shared" si="3"/>
        <v>79.399999999999991</v>
      </c>
      <c r="Z195">
        <v>10.6</v>
      </c>
      <c r="AA195">
        <v>3</v>
      </c>
      <c r="AB195">
        <v>1</v>
      </c>
      <c r="AC195">
        <v>6</v>
      </c>
      <c r="AD195">
        <v>1</v>
      </c>
      <c r="AE195">
        <v>0</v>
      </c>
      <c r="AF195">
        <v>0</v>
      </c>
      <c r="AG195">
        <v>0</v>
      </c>
      <c r="AH195">
        <v>0.35294117647058826</v>
      </c>
      <c r="AI195">
        <v>0.125</v>
      </c>
      <c r="AJ195">
        <v>0</v>
      </c>
      <c r="AK195">
        <v>0</v>
      </c>
      <c r="AL195">
        <v>0</v>
      </c>
    </row>
    <row r="196" spans="1:38" x14ac:dyDescent="0.25">
      <c r="A196">
        <v>2025</v>
      </c>
      <c r="B196" t="s">
        <v>81</v>
      </c>
      <c r="C196" t="s">
        <v>59</v>
      </c>
      <c r="D196" t="str" cm="1">
        <f t="array" ref="D196">_xlfn.XLOOKUP(1,('26 WR'!A:A=E196)*('26 WR'!B:B=F196),'26 WR'!C:C)</f>
        <v>Garrett Wilson</v>
      </c>
      <c r="E196" t="s">
        <v>20</v>
      </c>
      <c r="F196">
        <v>15</v>
      </c>
      <c r="G196">
        <v>45</v>
      </c>
      <c r="H196">
        <v>8</v>
      </c>
      <c r="I196">
        <v>16.899999999999999</v>
      </c>
      <c r="J196">
        <v>15.9</v>
      </c>
      <c r="K196">
        <v>12.7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f t="shared" si="3"/>
        <v>53.5</v>
      </c>
      <c r="Z196">
        <v>13.4</v>
      </c>
      <c r="AA196">
        <v>3</v>
      </c>
      <c r="AB196">
        <v>1</v>
      </c>
      <c r="AC196">
        <v>3</v>
      </c>
      <c r="AD196">
        <v>2</v>
      </c>
      <c r="AE196">
        <v>0</v>
      </c>
      <c r="AF196">
        <v>0</v>
      </c>
      <c r="AG196">
        <v>0</v>
      </c>
      <c r="AH196">
        <v>0.17647058823529413</v>
      </c>
      <c r="AI196">
        <v>0.5</v>
      </c>
      <c r="AJ196">
        <v>0</v>
      </c>
      <c r="AK196">
        <v>0</v>
      </c>
      <c r="AL196">
        <v>0</v>
      </c>
    </row>
    <row r="197" spans="1:38" x14ac:dyDescent="0.25">
      <c r="A197">
        <v>2025</v>
      </c>
      <c r="B197" t="s">
        <v>82</v>
      </c>
      <c r="C197" t="s">
        <v>80</v>
      </c>
      <c r="D197" t="str" cm="1">
        <f t="array" ref="D197">_xlfn.XLOOKUP(1,('26 WR'!A:A=E197)*('26 WR'!B:B=F197),'26 WR'!C:C)</f>
        <v>Malik Nabers</v>
      </c>
      <c r="E197" t="s">
        <v>20</v>
      </c>
      <c r="F197">
        <v>16</v>
      </c>
      <c r="G197">
        <v>47</v>
      </c>
      <c r="H197">
        <v>4.7</v>
      </c>
      <c r="I197">
        <v>9.8000000000000007</v>
      </c>
      <c r="J197">
        <v>10.4</v>
      </c>
      <c r="K197">
        <v>0</v>
      </c>
      <c r="L197">
        <v>0</v>
      </c>
      <c r="M197">
        <v>0</v>
      </c>
      <c r="N197">
        <v>0</v>
      </c>
      <c r="O197">
        <v>14.4</v>
      </c>
      <c r="P197">
        <v>0</v>
      </c>
      <c r="Q197">
        <v>0</v>
      </c>
      <c r="R197">
        <v>0</v>
      </c>
      <c r="S197">
        <v>0</v>
      </c>
      <c r="T197">
        <v>22.6</v>
      </c>
      <c r="U197">
        <v>7.1</v>
      </c>
      <c r="V197">
        <v>15.9</v>
      </c>
      <c r="W197">
        <v>8.3000000000000007</v>
      </c>
      <c r="X197">
        <v>11.3</v>
      </c>
      <c r="Y197">
        <f t="shared" si="3"/>
        <v>104.5</v>
      </c>
      <c r="Z197">
        <v>11.4</v>
      </c>
      <c r="AA197">
        <v>4</v>
      </c>
      <c r="AB197">
        <v>1</v>
      </c>
      <c r="AC197">
        <v>5</v>
      </c>
      <c r="AD197">
        <v>2</v>
      </c>
      <c r="AE197">
        <v>1</v>
      </c>
      <c r="AF197">
        <v>0</v>
      </c>
      <c r="AG197">
        <v>0</v>
      </c>
      <c r="AH197">
        <v>0.29411764705882354</v>
      </c>
      <c r="AI197">
        <v>0.2</v>
      </c>
      <c r="AJ197">
        <v>0.1</v>
      </c>
      <c r="AK197">
        <v>0</v>
      </c>
      <c r="AL197">
        <v>0</v>
      </c>
    </row>
    <row r="198" spans="1:38" x14ac:dyDescent="0.25">
      <c r="A198">
        <v>2025</v>
      </c>
      <c r="B198" t="s">
        <v>83</v>
      </c>
      <c r="C198" t="s">
        <v>45</v>
      </c>
      <c r="D198" t="str" cm="1">
        <f t="array" ref="D198">_xlfn.XLOOKUP(1,('26 WR'!A:A=E198)*('26 WR'!B:B=F198),'26 WR'!C:C)</f>
        <v>Tee Higgins</v>
      </c>
      <c r="E198" t="s">
        <v>20</v>
      </c>
      <c r="F198">
        <v>17</v>
      </c>
      <c r="G198">
        <v>48</v>
      </c>
      <c r="H198">
        <v>18.100000000000001</v>
      </c>
      <c r="I198">
        <v>4.7</v>
      </c>
      <c r="J198">
        <v>7.4</v>
      </c>
      <c r="K198">
        <v>18.600000000000001</v>
      </c>
      <c r="L198">
        <v>13.8</v>
      </c>
      <c r="M198">
        <v>5.2</v>
      </c>
      <c r="N198">
        <v>7.8</v>
      </c>
      <c r="O198">
        <v>0</v>
      </c>
      <c r="P198">
        <v>22.6</v>
      </c>
      <c r="Q198">
        <v>14.3</v>
      </c>
      <c r="R198">
        <v>0</v>
      </c>
      <c r="S198">
        <v>0</v>
      </c>
      <c r="T198">
        <v>12.9</v>
      </c>
      <c r="U198">
        <v>0</v>
      </c>
      <c r="V198">
        <v>0</v>
      </c>
      <c r="W198">
        <v>2.4</v>
      </c>
      <c r="X198">
        <v>0</v>
      </c>
      <c r="Y198">
        <f t="shared" si="3"/>
        <v>127.80000000000003</v>
      </c>
      <c r="Z198">
        <v>10.7</v>
      </c>
      <c r="AA198">
        <v>4</v>
      </c>
      <c r="AB198">
        <v>1</v>
      </c>
      <c r="AC198">
        <v>6</v>
      </c>
      <c r="AD198">
        <v>3</v>
      </c>
      <c r="AE198">
        <v>1</v>
      </c>
      <c r="AF198">
        <v>0</v>
      </c>
      <c r="AG198">
        <v>0</v>
      </c>
      <c r="AH198">
        <v>0.35294117647058826</v>
      </c>
      <c r="AI198">
        <v>0.25</v>
      </c>
      <c r="AJ198">
        <v>8.3333333333333329E-2</v>
      </c>
      <c r="AK198">
        <v>0</v>
      </c>
      <c r="AL198">
        <v>0</v>
      </c>
    </row>
    <row r="199" spans="1:38" x14ac:dyDescent="0.25">
      <c r="A199">
        <v>2025</v>
      </c>
      <c r="B199" t="s">
        <v>84</v>
      </c>
      <c r="C199" t="s">
        <v>85</v>
      </c>
      <c r="D199" t="str" cm="1">
        <f t="array" ref="D199">_xlfn.XLOOKUP(1,('26 WR'!A:A=E199)*('26 WR'!B:B=F199),'26 WR'!C:C)</f>
        <v>Zay Flowers</v>
      </c>
      <c r="E199" t="s">
        <v>20</v>
      </c>
      <c r="F199">
        <v>18</v>
      </c>
      <c r="G199">
        <v>49</v>
      </c>
      <c r="H199">
        <v>0</v>
      </c>
      <c r="I199">
        <v>0</v>
      </c>
      <c r="J199">
        <v>0</v>
      </c>
      <c r="K199">
        <v>17.100000000000001</v>
      </c>
      <c r="L199">
        <v>11.1</v>
      </c>
      <c r="M199">
        <v>10.6</v>
      </c>
      <c r="N199">
        <v>7.8</v>
      </c>
      <c r="O199">
        <v>10.3</v>
      </c>
      <c r="P199">
        <v>6</v>
      </c>
      <c r="Q199">
        <v>0</v>
      </c>
      <c r="R199">
        <v>5.5</v>
      </c>
      <c r="S199">
        <v>9.9</v>
      </c>
      <c r="T199">
        <v>11.4</v>
      </c>
      <c r="U199">
        <v>8.5</v>
      </c>
      <c r="V199">
        <v>5.5</v>
      </c>
      <c r="W199">
        <v>6.1</v>
      </c>
      <c r="X199">
        <v>0.1</v>
      </c>
      <c r="Y199">
        <f t="shared" si="3"/>
        <v>109.9</v>
      </c>
      <c r="Z199">
        <v>7.9</v>
      </c>
      <c r="AA199">
        <v>4</v>
      </c>
      <c r="AB199">
        <v>1</v>
      </c>
      <c r="AC199">
        <v>5</v>
      </c>
      <c r="AD199">
        <v>1</v>
      </c>
      <c r="AE199">
        <v>0</v>
      </c>
      <c r="AF199">
        <v>0</v>
      </c>
      <c r="AG199">
        <v>0</v>
      </c>
      <c r="AH199">
        <v>0.29411764705882354</v>
      </c>
      <c r="AI199">
        <v>7.1428571428571425E-2</v>
      </c>
      <c r="AJ199">
        <v>0</v>
      </c>
      <c r="AK199">
        <v>0</v>
      </c>
      <c r="AL199">
        <v>0</v>
      </c>
    </row>
    <row r="200" spans="1:38" x14ac:dyDescent="0.25">
      <c r="A200">
        <v>2025</v>
      </c>
      <c r="B200" t="s">
        <v>87</v>
      </c>
      <c r="C200" t="s">
        <v>49</v>
      </c>
      <c r="D200" t="str" cm="1">
        <f t="array" ref="D200">_xlfn.XLOOKUP(1,('26 WR'!A:A=E200)*('26 WR'!B:B=F200),'26 WR'!C:C)</f>
        <v>Ladd McConkey</v>
      </c>
      <c r="E200" t="s">
        <v>20</v>
      </c>
      <c r="F200">
        <v>19</v>
      </c>
      <c r="G200">
        <v>51</v>
      </c>
      <c r="H200">
        <v>9.1</v>
      </c>
      <c r="I200">
        <v>22.6</v>
      </c>
      <c r="J200">
        <v>14.6</v>
      </c>
      <c r="K200">
        <v>15.6</v>
      </c>
      <c r="L200">
        <v>13.8</v>
      </c>
      <c r="M200">
        <v>7.9</v>
      </c>
      <c r="N200">
        <v>26.5</v>
      </c>
      <c r="O200">
        <v>0</v>
      </c>
      <c r="P200">
        <v>23</v>
      </c>
      <c r="Q200">
        <v>19.7</v>
      </c>
      <c r="R200">
        <v>7.1</v>
      </c>
      <c r="S200">
        <v>23.2</v>
      </c>
      <c r="T200">
        <v>21.8</v>
      </c>
      <c r="U200">
        <v>6.9</v>
      </c>
      <c r="V200">
        <v>11.1</v>
      </c>
      <c r="W200">
        <v>0</v>
      </c>
      <c r="X200">
        <v>0</v>
      </c>
      <c r="Y200">
        <f t="shared" si="3"/>
        <v>222.9</v>
      </c>
      <c r="Z200">
        <v>15.9</v>
      </c>
      <c r="AA200">
        <v>4</v>
      </c>
      <c r="AB200">
        <v>1</v>
      </c>
      <c r="AC200">
        <v>10</v>
      </c>
      <c r="AD200">
        <v>7</v>
      </c>
      <c r="AE200">
        <v>5</v>
      </c>
      <c r="AF200">
        <v>1</v>
      </c>
      <c r="AG200">
        <v>0</v>
      </c>
      <c r="AH200">
        <v>0.58823529411764708</v>
      </c>
      <c r="AI200">
        <v>0.5</v>
      </c>
      <c r="AJ200">
        <v>0.35714285714285715</v>
      </c>
      <c r="AK200">
        <v>7.1428571428571425E-2</v>
      </c>
      <c r="AL200">
        <v>0</v>
      </c>
    </row>
    <row r="201" spans="1:38" x14ac:dyDescent="0.25">
      <c r="A201">
        <v>2025</v>
      </c>
      <c r="B201" t="s">
        <v>89</v>
      </c>
      <c r="C201" t="s">
        <v>90</v>
      </c>
      <c r="D201" t="str" cm="1">
        <f t="array" ref="D201">_xlfn.XLOOKUP(1,('26 WR'!A:A=E201)*('26 WR'!B:B=F201),'26 WR'!C:C)</f>
        <v>Jaylen Waddle</v>
      </c>
      <c r="E201" t="s">
        <v>20</v>
      </c>
      <c r="F201">
        <v>20</v>
      </c>
      <c r="G201">
        <v>52</v>
      </c>
      <c r="H201">
        <v>22.5</v>
      </c>
      <c r="I201">
        <v>9</v>
      </c>
      <c r="J201">
        <v>24.4</v>
      </c>
      <c r="K201">
        <v>20.2</v>
      </c>
      <c r="L201">
        <v>19.100000000000001</v>
      </c>
      <c r="M201">
        <v>4.3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f t="shared" si="3"/>
        <v>99.499999999999986</v>
      </c>
      <c r="Z201">
        <v>14.2</v>
      </c>
      <c r="AA201">
        <v>4</v>
      </c>
      <c r="AB201">
        <v>1</v>
      </c>
      <c r="AC201">
        <v>4</v>
      </c>
      <c r="AD201">
        <v>4</v>
      </c>
      <c r="AE201">
        <v>3</v>
      </c>
      <c r="AF201">
        <v>0</v>
      </c>
      <c r="AG201">
        <v>0</v>
      </c>
      <c r="AH201">
        <v>0.23529411764705882</v>
      </c>
      <c r="AI201">
        <v>0.5714285714285714</v>
      </c>
      <c r="AJ201">
        <v>0.42857142857142855</v>
      </c>
      <c r="AK201">
        <v>0</v>
      </c>
      <c r="AL201">
        <v>0</v>
      </c>
    </row>
    <row r="202" spans="1:38" x14ac:dyDescent="0.25">
      <c r="A202">
        <v>2025</v>
      </c>
      <c r="B202" t="s">
        <v>91</v>
      </c>
      <c r="C202" t="s">
        <v>92</v>
      </c>
      <c r="D202" t="str" cm="1">
        <f t="array" ref="D202">_xlfn.XLOOKUP(1,('26 WR'!A:A=E202)*('26 WR'!B:B=F202),'26 WR'!C:C)</f>
        <v>Emeka Egbuka</v>
      </c>
      <c r="E202" t="s">
        <v>20</v>
      </c>
      <c r="F202">
        <v>21</v>
      </c>
      <c r="G202">
        <v>54</v>
      </c>
      <c r="H202">
        <v>11.8</v>
      </c>
      <c r="I202">
        <v>16</v>
      </c>
      <c r="J202">
        <v>7.8</v>
      </c>
      <c r="K202">
        <v>10.199999999999999</v>
      </c>
      <c r="L202">
        <v>13.3</v>
      </c>
      <c r="M202">
        <v>17.899999999999999</v>
      </c>
      <c r="N202">
        <v>6.3</v>
      </c>
      <c r="O202">
        <v>16.899999999999999</v>
      </c>
      <c r="P202">
        <v>8.6</v>
      </c>
      <c r="Q202">
        <v>11</v>
      </c>
      <c r="R202">
        <v>33</v>
      </c>
      <c r="S202">
        <v>11.5</v>
      </c>
      <c r="T202">
        <v>11.3</v>
      </c>
      <c r="U202">
        <v>0</v>
      </c>
      <c r="V202">
        <v>4.5</v>
      </c>
      <c r="W202">
        <v>19.3</v>
      </c>
      <c r="X202">
        <v>1.5</v>
      </c>
      <c r="Y202">
        <f t="shared" si="3"/>
        <v>200.9</v>
      </c>
      <c r="Z202">
        <v>12.4</v>
      </c>
      <c r="AA202">
        <v>4</v>
      </c>
      <c r="AB202">
        <v>1</v>
      </c>
      <c r="AC202">
        <v>12</v>
      </c>
      <c r="AD202">
        <v>5</v>
      </c>
      <c r="AE202">
        <v>1</v>
      </c>
      <c r="AF202">
        <v>1</v>
      </c>
      <c r="AG202">
        <v>1</v>
      </c>
      <c r="AH202">
        <v>0.70588235294117652</v>
      </c>
      <c r="AI202">
        <v>0.29411764705882354</v>
      </c>
      <c r="AJ202">
        <v>5.8823529411764705E-2</v>
      </c>
      <c r="AK202">
        <v>5.8823529411764705E-2</v>
      </c>
      <c r="AL202">
        <v>5.8823529411764705E-2</v>
      </c>
    </row>
    <row r="203" spans="1:38" x14ac:dyDescent="0.25">
      <c r="A203">
        <v>2025</v>
      </c>
      <c r="B203" t="s">
        <v>97</v>
      </c>
      <c r="C203" t="s">
        <v>98</v>
      </c>
      <c r="D203" t="str" cm="1">
        <f t="array" ref="D203">_xlfn.XLOOKUP(1,('26 WR'!A:A=E203)*('26 WR'!B:B=F203),'26 WR'!C:C)</f>
        <v>Terry McLaurin</v>
      </c>
      <c r="E203" t="s">
        <v>20</v>
      </c>
      <c r="F203">
        <v>22</v>
      </c>
      <c r="G203">
        <v>57</v>
      </c>
      <c r="H203">
        <v>18.100000000000001</v>
      </c>
      <c r="I203">
        <v>1.6</v>
      </c>
      <c r="J203">
        <v>23.8</v>
      </c>
      <c r="K203">
        <v>19.100000000000001</v>
      </c>
      <c r="L203">
        <v>17.899999999999999</v>
      </c>
      <c r="M203">
        <v>2.7</v>
      </c>
      <c r="N203">
        <v>16.7</v>
      </c>
      <c r="O203">
        <v>10.7</v>
      </c>
      <c r="P203">
        <v>10</v>
      </c>
      <c r="Q203">
        <v>5.4</v>
      </c>
      <c r="R203">
        <v>9.9</v>
      </c>
      <c r="S203">
        <v>0</v>
      </c>
      <c r="T203">
        <v>17.2</v>
      </c>
      <c r="U203">
        <v>12.2</v>
      </c>
      <c r="V203">
        <v>24.3</v>
      </c>
      <c r="W203">
        <v>20.6</v>
      </c>
      <c r="X203">
        <v>8</v>
      </c>
      <c r="Y203">
        <f t="shared" si="3"/>
        <v>218.2</v>
      </c>
      <c r="Z203">
        <v>12.9</v>
      </c>
      <c r="AA203">
        <v>4</v>
      </c>
      <c r="AB203">
        <v>1</v>
      </c>
      <c r="AC203">
        <v>10</v>
      </c>
      <c r="AD203">
        <v>8</v>
      </c>
      <c r="AE203">
        <v>3</v>
      </c>
      <c r="AF203">
        <v>0</v>
      </c>
      <c r="AG203">
        <v>0</v>
      </c>
      <c r="AH203">
        <v>0.58823529411764708</v>
      </c>
      <c r="AI203">
        <v>0.47058823529411764</v>
      </c>
      <c r="AJ203">
        <v>0.17647058823529413</v>
      </c>
      <c r="AK203">
        <v>0</v>
      </c>
      <c r="AL203">
        <v>0</v>
      </c>
    </row>
    <row r="204" spans="1:38" x14ac:dyDescent="0.25">
      <c r="A204">
        <v>2025</v>
      </c>
      <c r="B204" t="s">
        <v>99</v>
      </c>
      <c r="C204" t="s">
        <v>35</v>
      </c>
      <c r="D204" t="str" cm="1">
        <f t="array" ref="D204">_xlfn.XLOOKUP(1,('26 WR'!A:A=E204)*('26 WR'!B:B=F204),'26 WR'!C:C)</f>
        <v>Luther Burden III</v>
      </c>
      <c r="E204" t="s">
        <v>20</v>
      </c>
      <c r="F204">
        <v>23</v>
      </c>
      <c r="G204">
        <v>58</v>
      </c>
      <c r="H204">
        <v>6</v>
      </c>
      <c r="I204">
        <v>17.8</v>
      </c>
      <c r="J204">
        <v>17.8</v>
      </c>
      <c r="K204">
        <v>33.4</v>
      </c>
      <c r="L204">
        <v>13.7</v>
      </c>
      <c r="M204">
        <v>31.8</v>
      </c>
      <c r="N204">
        <v>12.2</v>
      </c>
      <c r="O204">
        <v>14.8</v>
      </c>
      <c r="P204">
        <v>13.9</v>
      </c>
      <c r="Q204">
        <v>0</v>
      </c>
      <c r="R204">
        <v>29.4</v>
      </c>
      <c r="S204">
        <v>29.6</v>
      </c>
      <c r="T204">
        <v>16.8</v>
      </c>
      <c r="U204">
        <v>8.6999999999999993</v>
      </c>
      <c r="V204">
        <v>6.3</v>
      </c>
      <c r="W204">
        <v>26</v>
      </c>
      <c r="X204">
        <v>11.8</v>
      </c>
      <c r="Y204">
        <f t="shared" si="3"/>
        <v>290.00000000000006</v>
      </c>
      <c r="Z204">
        <v>17.2</v>
      </c>
      <c r="AA204">
        <v>4</v>
      </c>
      <c r="AB204">
        <v>1</v>
      </c>
      <c r="AC204">
        <v>13</v>
      </c>
      <c r="AD204">
        <v>8</v>
      </c>
      <c r="AE204">
        <v>5</v>
      </c>
      <c r="AF204">
        <v>5</v>
      </c>
      <c r="AG204">
        <v>2</v>
      </c>
      <c r="AH204">
        <v>0.76470588235294112</v>
      </c>
      <c r="AI204">
        <v>0.47058823529411764</v>
      </c>
      <c r="AJ204">
        <v>0.29411764705882354</v>
      </c>
      <c r="AK204">
        <v>0.29411764705882354</v>
      </c>
      <c r="AL204">
        <v>0.11764705882352941</v>
      </c>
    </row>
    <row r="205" spans="1:38" x14ac:dyDescent="0.25">
      <c r="A205">
        <v>2025</v>
      </c>
      <c r="B205" t="s">
        <v>101</v>
      </c>
      <c r="C205" t="s">
        <v>37</v>
      </c>
      <c r="D205" t="str" cm="1">
        <f t="array" ref="D205">_xlfn.XLOOKUP(1,('26 WR'!A:A=E205)*('26 WR'!B:B=F205),'26 WR'!C:C)</f>
        <v>Davante Adams</v>
      </c>
      <c r="E205" t="s">
        <v>20</v>
      </c>
      <c r="F205">
        <v>24</v>
      </c>
      <c r="G205">
        <v>61</v>
      </c>
      <c r="H205">
        <v>6.6</v>
      </c>
      <c r="I205">
        <v>18.8</v>
      </c>
      <c r="J205">
        <v>6.3</v>
      </c>
      <c r="K205">
        <v>5.7</v>
      </c>
      <c r="L205">
        <v>2</v>
      </c>
      <c r="M205">
        <v>18.600000000000001</v>
      </c>
      <c r="N205">
        <v>0</v>
      </c>
      <c r="O205">
        <v>0</v>
      </c>
      <c r="P205">
        <v>16.600000000000001</v>
      </c>
      <c r="Q205">
        <v>23.9</v>
      </c>
      <c r="R205">
        <v>19.7</v>
      </c>
      <c r="S205">
        <v>0</v>
      </c>
      <c r="T205">
        <v>26.9</v>
      </c>
      <c r="U205">
        <v>17.3</v>
      </c>
      <c r="V205">
        <v>26.4</v>
      </c>
      <c r="W205">
        <v>12</v>
      </c>
      <c r="X205">
        <v>5.7</v>
      </c>
      <c r="Y205">
        <f t="shared" si="3"/>
        <v>206.5</v>
      </c>
      <c r="Z205">
        <v>12.9</v>
      </c>
      <c r="AA205">
        <v>5</v>
      </c>
      <c r="AB205">
        <v>1</v>
      </c>
      <c r="AC205">
        <v>10</v>
      </c>
      <c r="AD205">
        <v>8</v>
      </c>
      <c r="AE205">
        <v>3</v>
      </c>
      <c r="AF205">
        <v>2</v>
      </c>
      <c r="AG205">
        <v>0</v>
      </c>
      <c r="AH205">
        <v>0.58823529411764708</v>
      </c>
      <c r="AI205">
        <v>0.47058823529411764</v>
      </c>
      <c r="AJ205">
        <v>0.17647058823529413</v>
      </c>
      <c r="AK205">
        <v>0.11764705882352941</v>
      </c>
      <c r="AL205">
        <v>0</v>
      </c>
    </row>
    <row r="206" spans="1:38" x14ac:dyDescent="0.25">
      <c r="A206">
        <v>2025</v>
      </c>
      <c r="B206" t="s">
        <v>102</v>
      </c>
      <c r="C206" t="s">
        <v>57</v>
      </c>
      <c r="D206" t="str" cm="1">
        <f t="array" ref="D206">_xlfn.XLOOKUP(1,('26 WR'!A:A=E206)*('26 WR'!B:B=F206),'26 WR'!C:C)</f>
        <v>Mike Evans</v>
      </c>
      <c r="E206" t="s">
        <v>20</v>
      </c>
      <c r="F206">
        <v>25</v>
      </c>
      <c r="G206">
        <v>62</v>
      </c>
      <c r="H206">
        <v>23.6</v>
      </c>
      <c r="I206">
        <v>12.9</v>
      </c>
      <c r="J206">
        <v>14.5</v>
      </c>
      <c r="K206">
        <v>20.100000000000001</v>
      </c>
      <c r="L206">
        <v>31.3</v>
      </c>
      <c r="M206">
        <v>4.4000000000000004</v>
      </c>
      <c r="N206">
        <v>9.8000000000000007</v>
      </c>
      <c r="O206">
        <v>6.5</v>
      </c>
      <c r="P206">
        <v>0</v>
      </c>
      <c r="Q206">
        <v>23.5</v>
      </c>
      <c r="R206">
        <v>9</v>
      </c>
      <c r="S206">
        <v>6.2</v>
      </c>
      <c r="T206">
        <v>8.1999999999999993</v>
      </c>
      <c r="U206">
        <v>3.5</v>
      </c>
      <c r="V206">
        <v>10.4</v>
      </c>
      <c r="W206">
        <v>5</v>
      </c>
      <c r="X206">
        <v>5</v>
      </c>
      <c r="Y206">
        <f t="shared" si="3"/>
        <v>193.89999999999998</v>
      </c>
      <c r="Z206">
        <v>11.5</v>
      </c>
      <c r="AA206">
        <v>5</v>
      </c>
      <c r="AB206">
        <v>1</v>
      </c>
      <c r="AC206">
        <v>7</v>
      </c>
      <c r="AD206">
        <v>4</v>
      </c>
      <c r="AE206">
        <v>4</v>
      </c>
      <c r="AF206">
        <v>1</v>
      </c>
      <c r="AG206">
        <v>1</v>
      </c>
      <c r="AH206">
        <v>0.41176470588235292</v>
      </c>
      <c r="AI206">
        <v>0.23529411764705882</v>
      </c>
      <c r="AJ206">
        <v>0.23529411764705882</v>
      </c>
      <c r="AK206">
        <v>5.8823529411764705E-2</v>
      </c>
      <c r="AL206">
        <v>5.8823529411764705E-2</v>
      </c>
    </row>
    <row r="207" spans="1:38" x14ac:dyDescent="0.25">
      <c r="A207">
        <v>2025</v>
      </c>
      <c r="B207" t="s">
        <v>107</v>
      </c>
      <c r="C207" t="s">
        <v>108</v>
      </c>
      <c r="D207" t="str" cm="1">
        <f t="array" ref="D207">_xlfn.XLOOKUP(1,('26 WR'!A:A=E207)*('26 WR'!B:B=F207),'26 WR'!C:C)</f>
        <v>DJ Moore</v>
      </c>
      <c r="E207" t="s">
        <v>20</v>
      </c>
      <c r="F207">
        <v>26</v>
      </c>
      <c r="G207">
        <v>68</v>
      </c>
      <c r="H207">
        <v>12.3</v>
      </c>
      <c r="I207">
        <v>11</v>
      </c>
      <c r="J207">
        <v>12.2</v>
      </c>
      <c r="K207">
        <v>23.6</v>
      </c>
      <c r="L207">
        <v>0</v>
      </c>
      <c r="M207">
        <v>19.5</v>
      </c>
      <c r="N207">
        <v>8</v>
      </c>
      <c r="O207">
        <v>16.5</v>
      </c>
      <c r="P207">
        <v>2.6</v>
      </c>
      <c r="Q207">
        <v>6.5</v>
      </c>
      <c r="R207">
        <v>9.9</v>
      </c>
      <c r="S207">
        <v>14.4</v>
      </c>
      <c r="T207">
        <v>6.2</v>
      </c>
      <c r="U207">
        <v>21.8</v>
      </c>
      <c r="V207">
        <v>14.5</v>
      </c>
      <c r="W207">
        <v>8.1999999999999993</v>
      </c>
      <c r="X207">
        <v>0</v>
      </c>
      <c r="Y207">
        <f t="shared" si="3"/>
        <v>187.2</v>
      </c>
      <c r="Z207">
        <v>12.5</v>
      </c>
      <c r="AA207">
        <v>5</v>
      </c>
      <c r="AB207">
        <v>1</v>
      </c>
      <c r="AC207">
        <v>9</v>
      </c>
      <c r="AD207">
        <v>4</v>
      </c>
      <c r="AE207">
        <v>2</v>
      </c>
      <c r="AF207">
        <v>0</v>
      </c>
      <c r="AG207">
        <v>0</v>
      </c>
      <c r="AH207">
        <v>0.52941176470588236</v>
      </c>
      <c r="AI207">
        <v>0.26666666666666666</v>
      </c>
      <c r="AJ207">
        <v>0.13333333333333333</v>
      </c>
      <c r="AK207">
        <v>0</v>
      </c>
      <c r="AL207">
        <v>0</v>
      </c>
    </row>
    <row r="208" spans="1:38" x14ac:dyDescent="0.25">
      <c r="A208">
        <v>2025</v>
      </c>
      <c r="B208" t="s">
        <v>109</v>
      </c>
      <c r="C208" t="s">
        <v>110</v>
      </c>
      <c r="D208" t="str" cm="1">
        <f t="array" ref="D208">_xlfn.XLOOKUP(1,('26 WR'!A:A=E208)*('26 WR'!B:B=F208),'26 WR'!C:C)</f>
        <v>Jameson Williams</v>
      </c>
      <c r="E208" t="s">
        <v>20</v>
      </c>
      <c r="F208">
        <v>27</v>
      </c>
      <c r="G208">
        <v>69</v>
      </c>
      <c r="H208">
        <v>8.6</v>
      </c>
      <c r="I208">
        <v>9.6</v>
      </c>
      <c r="J208">
        <v>12.8</v>
      </c>
      <c r="K208">
        <v>7.8</v>
      </c>
      <c r="L208">
        <v>0</v>
      </c>
      <c r="M208">
        <v>8.1999999999999993</v>
      </c>
      <c r="N208">
        <v>8.1999999999999993</v>
      </c>
      <c r="O208">
        <v>11.6</v>
      </c>
      <c r="P208">
        <v>23</v>
      </c>
      <c r="Q208">
        <v>0</v>
      </c>
      <c r="R208">
        <v>3.1</v>
      </c>
      <c r="S208">
        <v>23.4</v>
      </c>
      <c r="T208">
        <v>4.7</v>
      </c>
      <c r="U208">
        <v>0.6</v>
      </c>
      <c r="V208">
        <v>22.9</v>
      </c>
      <c r="W208">
        <v>21.9</v>
      </c>
      <c r="X208">
        <v>1.7</v>
      </c>
      <c r="Y208">
        <f t="shared" si="3"/>
        <v>168.09999999999997</v>
      </c>
      <c r="Z208">
        <v>10</v>
      </c>
      <c r="AA208">
        <v>5</v>
      </c>
      <c r="AB208">
        <v>1</v>
      </c>
      <c r="AC208">
        <v>6</v>
      </c>
      <c r="AD208">
        <v>4</v>
      </c>
      <c r="AE208">
        <v>4</v>
      </c>
      <c r="AF208">
        <v>0</v>
      </c>
      <c r="AG208">
        <v>0</v>
      </c>
      <c r="AH208">
        <v>0.35294117647058826</v>
      </c>
      <c r="AI208">
        <v>0.23529411764705882</v>
      </c>
      <c r="AJ208">
        <v>0.23529411764705882</v>
      </c>
      <c r="AK208">
        <v>0</v>
      </c>
      <c r="AL208">
        <v>0</v>
      </c>
    </row>
    <row r="209" spans="1:38" x14ac:dyDescent="0.25">
      <c r="A209">
        <v>2025</v>
      </c>
      <c r="B209" t="s">
        <v>111</v>
      </c>
      <c r="C209" t="s">
        <v>26</v>
      </c>
      <c r="D209" t="str" cm="1">
        <f t="array" ref="D209">_xlfn.XLOOKUP(1,('26 WR'!A:A=E209)*('26 WR'!B:B=F209),'26 WR'!C:C)</f>
        <v>Christian Watson</v>
      </c>
      <c r="E209" t="s">
        <v>20</v>
      </c>
      <c r="F209">
        <v>28</v>
      </c>
      <c r="G209">
        <v>70</v>
      </c>
      <c r="H209">
        <v>14.8</v>
      </c>
      <c r="I209">
        <v>9.1999999999999993</v>
      </c>
      <c r="J209">
        <v>19.7</v>
      </c>
      <c r="K209">
        <v>8.6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2.8</v>
      </c>
      <c r="T209">
        <v>3.4</v>
      </c>
      <c r="U209">
        <v>0</v>
      </c>
      <c r="V209">
        <v>15.6</v>
      </c>
      <c r="W209">
        <v>0</v>
      </c>
      <c r="X209">
        <v>13.5</v>
      </c>
      <c r="Y209">
        <f t="shared" si="3"/>
        <v>88.6</v>
      </c>
      <c r="Z209">
        <v>8.9</v>
      </c>
      <c r="AA209">
        <v>5</v>
      </c>
      <c r="AB209">
        <v>1</v>
      </c>
      <c r="AC209">
        <v>4</v>
      </c>
      <c r="AD209">
        <v>2</v>
      </c>
      <c r="AE209">
        <v>0</v>
      </c>
      <c r="AF209">
        <v>0</v>
      </c>
      <c r="AG209">
        <v>0</v>
      </c>
      <c r="AH209">
        <v>0.23529411764705882</v>
      </c>
      <c r="AI209">
        <v>0.2</v>
      </c>
      <c r="AJ209">
        <v>0</v>
      </c>
      <c r="AK209">
        <v>0</v>
      </c>
      <c r="AL209">
        <v>0</v>
      </c>
    </row>
    <row r="210" spans="1:38" x14ac:dyDescent="0.25">
      <c r="A210">
        <v>2025</v>
      </c>
      <c r="B210" t="s">
        <v>113</v>
      </c>
      <c r="C210" t="s">
        <v>114</v>
      </c>
      <c r="D210" t="str" cm="1">
        <f t="array" ref="D210">_xlfn.XLOOKUP(1,('26 WR'!A:A=E210)*('26 WR'!B:B=F210),'26 WR'!C:C)</f>
        <v>Rome Odunze</v>
      </c>
      <c r="E210" t="s">
        <v>20</v>
      </c>
      <c r="F210">
        <v>29</v>
      </c>
      <c r="G210">
        <v>72</v>
      </c>
      <c r="H210">
        <v>6.7</v>
      </c>
      <c r="I210">
        <v>8.6999999999999993</v>
      </c>
      <c r="J210">
        <v>3.7</v>
      </c>
      <c r="K210">
        <v>5</v>
      </c>
      <c r="L210">
        <v>18.100000000000001</v>
      </c>
      <c r="M210">
        <v>2.8</v>
      </c>
      <c r="N210">
        <v>0</v>
      </c>
      <c r="O210">
        <v>0</v>
      </c>
      <c r="P210">
        <v>0</v>
      </c>
      <c r="Q210">
        <v>0</v>
      </c>
      <c r="R210">
        <v>2.2999999999999998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f t="shared" si="3"/>
        <v>47.3</v>
      </c>
      <c r="Z210">
        <v>6.8</v>
      </c>
      <c r="AA210">
        <v>20</v>
      </c>
      <c r="AB210">
        <v>1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5.8823529411764705E-2</v>
      </c>
      <c r="AI210">
        <v>0.14285714285714285</v>
      </c>
      <c r="AJ210">
        <v>0</v>
      </c>
      <c r="AK210">
        <v>0</v>
      </c>
      <c r="AL210">
        <v>0</v>
      </c>
    </row>
    <row r="211" spans="1:38" x14ac:dyDescent="0.25">
      <c r="A211">
        <v>2025</v>
      </c>
      <c r="B211" t="s">
        <v>115</v>
      </c>
      <c r="C211" t="s">
        <v>33</v>
      </c>
      <c r="D211" t="str" cm="1">
        <f t="array" ref="D211">_xlfn.XLOOKUP(1,('26 WR'!A:A=E211)*('26 WR'!B:B=F211),'26 WR'!C:C)</f>
        <v>Carnell Tate</v>
      </c>
      <c r="E211" t="s">
        <v>20</v>
      </c>
      <c r="F211">
        <v>30</v>
      </c>
      <c r="G211">
        <v>73</v>
      </c>
      <c r="H211">
        <v>4.5999999999999996</v>
      </c>
      <c r="I211">
        <v>9.3000000000000007</v>
      </c>
      <c r="J211">
        <v>20</v>
      </c>
      <c r="K211">
        <v>4.9000000000000004</v>
      </c>
      <c r="L211">
        <v>19.399999999999999</v>
      </c>
      <c r="M211">
        <v>8.9</v>
      </c>
      <c r="N211">
        <v>33.299999999999997</v>
      </c>
      <c r="O211">
        <v>14.4</v>
      </c>
      <c r="P211">
        <v>0</v>
      </c>
      <c r="Q211">
        <v>16.899999999999999</v>
      </c>
      <c r="R211">
        <v>1.8</v>
      </c>
      <c r="S211">
        <v>14.9</v>
      </c>
      <c r="T211">
        <v>9.8000000000000007</v>
      </c>
      <c r="U211">
        <v>7.7</v>
      </c>
      <c r="V211">
        <v>7</v>
      </c>
      <c r="W211">
        <v>16.2</v>
      </c>
      <c r="X211">
        <v>4.5</v>
      </c>
      <c r="Y211">
        <f t="shared" si="3"/>
        <v>193.6</v>
      </c>
      <c r="Z211">
        <v>11.9</v>
      </c>
      <c r="AA211">
        <v>5</v>
      </c>
      <c r="AB211">
        <v>1</v>
      </c>
      <c r="AC211">
        <v>7</v>
      </c>
      <c r="AD211">
        <v>5</v>
      </c>
      <c r="AE211">
        <v>1</v>
      </c>
      <c r="AF211">
        <v>1</v>
      </c>
      <c r="AG211">
        <v>1</v>
      </c>
      <c r="AH211">
        <v>0.41176470588235292</v>
      </c>
      <c r="AI211">
        <v>0.29411764705882354</v>
      </c>
      <c r="AJ211">
        <v>5.8823529411764705E-2</v>
      </c>
      <c r="AK211">
        <v>5.8823529411764705E-2</v>
      </c>
      <c r="AL211">
        <v>5.8823529411764705E-2</v>
      </c>
    </row>
    <row r="212" spans="1:38" x14ac:dyDescent="0.25">
      <c r="A212">
        <v>2025</v>
      </c>
      <c r="B212" t="s">
        <v>118</v>
      </c>
      <c r="C212" t="s">
        <v>41</v>
      </c>
      <c r="D212" t="str" cm="1">
        <f t="array" ref="D212">_xlfn.XLOOKUP(1,('26 WR'!A:A=E212)*('26 WR'!B:B=F212),'26 WR'!C:C)</f>
        <v>Marvin Harrison Jr.</v>
      </c>
      <c r="E212" t="s">
        <v>20</v>
      </c>
      <c r="F212">
        <v>31</v>
      </c>
      <c r="G212">
        <v>77</v>
      </c>
      <c r="H212">
        <v>28.1</v>
      </c>
      <c r="I212">
        <v>14.9</v>
      </c>
      <c r="J212">
        <v>3.3</v>
      </c>
      <c r="K212">
        <v>14.4</v>
      </c>
      <c r="L212">
        <v>12.2</v>
      </c>
      <c r="M212">
        <v>8.6</v>
      </c>
      <c r="N212">
        <v>0</v>
      </c>
      <c r="O212">
        <v>14.1</v>
      </c>
      <c r="P212">
        <v>11.4</v>
      </c>
      <c r="Q212">
        <v>12.1</v>
      </c>
      <c r="R212">
        <v>11.3</v>
      </c>
      <c r="S212">
        <v>11.9</v>
      </c>
      <c r="T212">
        <v>0.6</v>
      </c>
      <c r="U212">
        <v>20.6</v>
      </c>
      <c r="V212">
        <v>15.8</v>
      </c>
      <c r="W212">
        <v>21.2</v>
      </c>
      <c r="X212">
        <v>13</v>
      </c>
      <c r="Y212">
        <f t="shared" si="3"/>
        <v>213.49999999999997</v>
      </c>
      <c r="Z212">
        <v>14.3</v>
      </c>
      <c r="AA212">
        <v>6</v>
      </c>
      <c r="AB212">
        <v>1</v>
      </c>
      <c r="AC212">
        <v>14</v>
      </c>
      <c r="AD212">
        <v>5</v>
      </c>
      <c r="AE212">
        <v>4</v>
      </c>
      <c r="AF212">
        <v>2</v>
      </c>
      <c r="AG212">
        <v>0</v>
      </c>
      <c r="AH212">
        <v>0.82352941176470584</v>
      </c>
      <c r="AI212">
        <v>0.29411764705882354</v>
      </c>
      <c r="AJ212">
        <v>0.23529411764705882</v>
      </c>
      <c r="AK212">
        <v>0.11764705882352941</v>
      </c>
      <c r="AL212">
        <v>0</v>
      </c>
    </row>
    <row r="213" spans="1:38" x14ac:dyDescent="0.25">
      <c r="A213">
        <v>2025</v>
      </c>
      <c r="B213" t="s">
        <v>119</v>
      </c>
      <c r="C213" t="s">
        <v>59</v>
      </c>
      <c r="D213" t="str" cm="1">
        <f t="array" ref="D213">_xlfn.XLOOKUP(1,('26 WR'!A:A=E213)*('26 WR'!B:B=F213),'26 WR'!C:C)</f>
        <v>Alec Pierce</v>
      </c>
      <c r="E213" t="s">
        <v>20</v>
      </c>
      <c r="F213">
        <v>32</v>
      </c>
      <c r="G213">
        <v>79</v>
      </c>
      <c r="H213">
        <v>7</v>
      </c>
      <c r="I213">
        <v>17.8</v>
      </c>
      <c r="J213">
        <v>14.9</v>
      </c>
      <c r="K213">
        <v>7.8</v>
      </c>
      <c r="L213">
        <v>23</v>
      </c>
      <c r="M213">
        <v>15.8</v>
      </c>
      <c r="N213">
        <v>2.5</v>
      </c>
      <c r="O213">
        <v>20.9</v>
      </c>
      <c r="P213">
        <v>14.2</v>
      </c>
      <c r="Q213">
        <v>19.399999999999999</v>
      </c>
      <c r="R213">
        <v>8.1999999999999993</v>
      </c>
      <c r="S213">
        <v>0</v>
      </c>
      <c r="T213">
        <v>7</v>
      </c>
      <c r="U213">
        <v>18.100000000000001</v>
      </c>
      <c r="V213">
        <v>4.5999999999999996</v>
      </c>
      <c r="W213">
        <v>12.2</v>
      </c>
      <c r="X213">
        <v>0.7</v>
      </c>
      <c r="Y213">
        <f t="shared" si="3"/>
        <v>194.09999999999994</v>
      </c>
      <c r="Z213">
        <v>12.1</v>
      </c>
      <c r="AA213">
        <v>6</v>
      </c>
      <c r="AB213">
        <v>1</v>
      </c>
      <c r="AC213">
        <v>9</v>
      </c>
      <c r="AD213">
        <v>6</v>
      </c>
      <c r="AE213">
        <v>2</v>
      </c>
      <c r="AF213">
        <v>0</v>
      </c>
      <c r="AG213">
        <v>0</v>
      </c>
      <c r="AH213">
        <v>0.52941176470588236</v>
      </c>
      <c r="AI213">
        <v>0.375</v>
      </c>
      <c r="AJ213">
        <v>0.125</v>
      </c>
      <c r="AK213">
        <v>0</v>
      </c>
      <c r="AL213">
        <v>0</v>
      </c>
    </row>
    <row r="214" spans="1:38" x14ac:dyDescent="0.25">
      <c r="A214">
        <v>2025</v>
      </c>
      <c r="B214" t="s">
        <v>121</v>
      </c>
      <c r="C214" t="s">
        <v>61</v>
      </c>
      <c r="D214" t="str" cm="1">
        <f t="array" ref="D214">_xlfn.XLOOKUP(1,('26 WR'!A:A=E214)*('26 WR'!B:B=F214),'26 WR'!C:C)</f>
        <v>Courtland Sutton</v>
      </c>
      <c r="E214" t="s">
        <v>20</v>
      </c>
      <c r="F214">
        <v>33</v>
      </c>
      <c r="G214">
        <v>81</v>
      </c>
      <c r="H214">
        <v>3.6</v>
      </c>
      <c r="I214">
        <v>1.5</v>
      </c>
      <c r="J214">
        <v>10.1</v>
      </c>
      <c r="K214">
        <v>11.3</v>
      </c>
      <c r="L214">
        <v>0</v>
      </c>
      <c r="M214">
        <v>13.2</v>
      </c>
      <c r="N214">
        <v>7.7</v>
      </c>
      <c r="O214">
        <v>3.4</v>
      </c>
      <c r="P214">
        <v>2.9</v>
      </c>
      <c r="Q214">
        <v>0</v>
      </c>
      <c r="R214">
        <v>3.4</v>
      </c>
      <c r="S214">
        <v>0</v>
      </c>
      <c r="T214">
        <v>0</v>
      </c>
      <c r="U214">
        <v>0</v>
      </c>
      <c r="V214">
        <v>8.5</v>
      </c>
      <c r="W214">
        <v>0.4</v>
      </c>
      <c r="X214">
        <v>2.2000000000000002</v>
      </c>
      <c r="Y214">
        <f t="shared" si="3"/>
        <v>68.2</v>
      </c>
      <c r="Z214">
        <v>5</v>
      </c>
      <c r="AA214">
        <v>6</v>
      </c>
      <c r="AB214">
        <v>1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0.17647058823529413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2025</v>
      </c>
      <c r="B215" t="s">
        <v>123</v>
      </c>
      <c r="C215" t="s">
        <v>51</v>
      </c>
      <c r="D215" t="str" cm="1">
        <f t="array" ref="D215">_xlfn.XLOOKUP(1,('26 WR'!A:A=E215)*('26 WR'!B:B=F215),'26 WR'!C:C)</f>
        <v>DK Metcalf</v>
      </c>
      <c r="E215" t="s">
        <v>20</v>
      </c>
      <c r="F215">
        <v>34</v>
      </c>
      <c r="G215">
        <v>83</v>
      </c>
      <c r="H215">
        <v>9.3000000000000007</v>
      </c>
      <c r="I215">
        <v>5.2</v>
      </c>
      <c r="J215">
        <v>3.1</v>
      </c>
      <c r="K215">
        <v>7.2</v>
      </c>
      <c r="L215">
        <v>9.4</v>
      </c>
      <c r="M215">
        <v>5.5</v>
      </c>
      <c r="N215">
        <v>24.1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f t="shared" si="3"/>
        <v>63.800000000000004</v>
      </c>
      <c r="Z215">
        <v>9.1</v>
      </c>
      <c r="AA215">
        <v>6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5.8823529411764705E-2</v>
      </c>
      <c r="AI215">
        <v>0.14285714285714285</v>
      </c>
      <c r="AJ215">
        <v>0.14285714285714285</v>
      </c>
      <c r="AK215">
        <v>0</v>
      </c>
      <c r="AL215">
        <v>0</v>
      </c>
    </row>
    <row r="216" spans="1:38" x14ac:dyDescent="0.25">
      <c r="A216">
        <v>2025</v>
      </c>
      <c r="B216" t="s">
        <v>124</v>
      </c>
      <c r="C216" t="s">
        <v>80</v>
      </c>
      <c r="D216" t="str" cm="1">
        <f t="array" ref="D216">_xlfn.XLOOKUP(1,('26 WR'!A:A=E216)*('26 WR'!B:B=F216),'26 WR'!C:C)</f>
        <v>Chris Godwin Jr.</v>
      </c>
      <c r="E216" t="s">
        <v>20</v>
      </c>
      <c r="F216">
        <v>35</v>
      </c>
      <c r="G216">
        <v>85</v>
      </c>
      <c r="H216">
        <v>22.6</v>
      </c>
      <c r="I216">
        <v>17.399999999999999</v>
      </c>
      <c r="J216">
        <v>4.9000000000000004</v>
      </c>
      <c r="K216">
        <v>20.100000000000001</v>
      </c>
      <c r="L216">
        <v>23.6</v>
      </c>
      <c r="M216">
        <v>5.4</v>
      </c>
      <c r="N216">
        <v>0</v>
      </c>
      <c r="O216">
        <v>4.2</v>
      </c>
      <c r="P216">
        <v>9.4</v>
      </c>
      <c r="Q216">
        <v>12.9</v>
      </c>
      <c r="R216">
        <v>20.7</v>
      </c>
      <c r="S216">
        <v>0</v>
      </c>
      <c r="T216">
        <v>11.1</v>
      </c>
      <c r="U216">
        <v>6.7</v>
      </c>
      <c r="V216">
        <v>7.3</v>
      </c>
      <c r="W216">
        <v>6.5</v>
      </c>
      <c r="X216">
        <v>11.3</v>
      </c>
      <c r="Y216">
        <f t="shared" si="3"/>
        <v>184.10000000000002</v>
      </c>
      <c r="Z216">
        <v>11.8</v>
      </c>
      <c r="AA216">
        <v>6</v>
      </c>
      <c r="AB216">
        <v>1</v>
      </c>
      <c r="AC216">
        <v>8</v>
      </c>
      <c r="AD216">
        <v>5</v>
      </c>
      <c r="AE216">
        <v>4</v>
      </c>
      <c r="AF216">
        <v>0</v>
      </c>
      <c r="AG216">
        <v>0</v>
      </c>
      <c r="AH216">
        <v>0.47058823529411764</v>
      </c>
      <c r="AI216">
        <v>0.3125</v>
      </c>
      <c r="AJ216">
        <v>0.25</v>
      </c>
      <c r="AK216">
        <v>0</v>
      </c>
      <c r="AL216">
        <v>0</v>
      </c>
    </row>
    <row r="217" spans="1:38" x14ac:dyDescent="0.25">
      <c r="A217">
        <v>2025</v>
      </c>
      <c r="B217" t="s">
        <v>125</v>
      </c>
      <c r="C217" t="s">
        <v>85</v>
      </c>
      <c r="D217" t="str" cm="1">
        <f t="array" ref="D217">_xlfn.XLOOKUP(1,('26 WR'!A:A=E217)*('26 WR'!B:B=F217),'26 WR'!C:C)</f>
        <v>Michael Pittman Jr.</v>
      </c>
      <c r="E217" t="s">
        <v>20</v>
      </c>
      <c r="F217">
        <v>36</v>
      </c>
      <c r="G217">
        <v>86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23.2</v>
      </c>
      <c r="O217">
        <v>25.5</v>
      </c>
      <c r="P217">
        <v>18.600000000000001</v>
      </c>
      <c r="Q217">
        <v>0</v>
      </c>
      <c r="R217">
        <v>9.8000000000000007</v>
      </c>
      <c r="S217">
        <v>24.1</v>
      </c>
      <c r="T217">
        <v>29.4</v>
      </c>
      <c r="U217">
        <v>7.4</v>
      </c>
      <c r="V217">
        <v>12.1</v>
      </c>
      <c r="W217">
        <v>0</v>
      </c>
      <c r="X217">
        <v>0</v>
      </c>
      <c r="Y217">
        <f t="shared" si="3"/>
        <v>150.10000000000002</v>
      </c>
      <c r="Z217">
        <v>18.8</v>
      </c>
      <c r="AA217">
        <v>6</v>
      </c>
      <c r="AB217">
        <v>1</v>
      </c>
      <c r="AC217">
        <v>6</v>
      </c>
      <c r="AD217">
        <v>5</v>
      </c>
      <c r="AE217">
        <v>4</v>
      </c>
      <c r="AF217">
        <v>2</v>
      </c>
      <c r="AG217">
        <v>0</v>
      </c>
      <c r="AH217">
        <v>0.35294117647058826</v>
      </c>
      <c r="AI217">
        <v>0.625</v>
      </c>
      <c r="AJ217">
        <v>0.5</v>
      </c>
      <c r="AK217">
        <v>0.25</v>
      </c>
      <c r="AL217">
        <v>0</v>
      </c>
    </row>
    <row r="218" spans="1:38" x14ac:dyDescent="0.25">
      <c r="A218">
        <v>2025</v>
      </c>
      <c r="B218" t="s">
        <v>126</v>
      </c>
      <c r="C218" t="s">
        <v>110</v>
      </c>
      <c r="D218" t="str" cm="1">
        <f t="array" ref="D218">_xlfn.XLOOKUP(1,('26 WR'!A:A=E218)*('26 WR'!B:B=F218),'26 WR'!C:C)</f>
        <v>Michael Wilson</v>
      </c>
      <c r="E218" t="s">
        <v>20</v>
      </c>
      <c r="F218">
        <v>37</v>
      </c>
      <c r="G218">
        <v>87</v>
      </c>
      <c r="H218">
        <v>15.7</v>
      </c>
      <c r="I218">
        <v>31.8</v>
      </c>
      <c r="J218">
        <v>15.2</v>
      </c>
      <c r="K218">
        <v>16.899999999999999</v>
      </c>
      <c r="L218">
        <v>0</v>
      </c>
      <c r="M218">
        <v>5.2</v>
      </c>
      <c r="N218">
        <v>5.0999999999999996</v>
      </c>
      <c r="O218">
        <v>18.399999999999999</v>
      </c>
      <c r="P218">
        <v>0</v>
      </c>
      <c r="Q218">
        <v>20.6</v>
      </c>
      <c r="R218">
        <v>6.1</v>
      </c>
      <c r="S218">
        <v>8.3000000000000007</v>
      </c>
      <c r="T218">
        <v>2.8</v>
      </c>
      <c r="U218">
        <v>0</v>
      </c>
      <c r="V218">
        <v>0</v>
      </c>
      <c r="W218">
        <v>0</v>
      </c>
      <c r="X218">
        <v>0</v>
      </c>
      <c r="Y218">
        <f t="shared" si="3"/>
        <v>146.1</v>
      </c>
      <c r="Z218">
        <v>12.2</v>
      </c>
      <c r="AA218">
        <v>6</v>
      </c>
      <c r="AB218">
        <v>1</v>
      </c>
      <c r="AC218">
        <v>6</v>
      </c>
      <c r="AD218">
        <v>6</v>
      </c>
      <c r="AE218">
        <v>2</v>
      </c>
      <c r="AF218">
        <v>1</v>
      </c>
      <c r="AG218">
        <v>1</v>
      </c>
      <c r="AH218">
        <v>0.35294117647058826</v>
      </c>
      <c r="AI218">
        <v>0.5</v>
      </c>
      <c r="AJ218">
        <v>0.16666666666666666</v>
      </c>
      <c r="AK218">
        <v>8.3333333333333329E-2</v>
      </c>
      <c r="AL218">
        <v>8.3333333333333329E-2</v>
      </c>
    </row>
    <row r="219" spans="1:38" x14ac:dyDescent="0.25">
      <c r="A219">
        <v>2025</v>
      </c>
      <c r="B219" t="s">
        <v>131</v>
      </c>
      <c r="C219" t="s">
        <v>132</v>
      </c>
      <c r="D219" t="str" cm="1">
        <f t="array" ref="D219">_xlfn.XLOOKUP(1,('26 WR'!A:A=E219)*('26 WR'!B:B=F219),'26 WR'!C:C)</f>
        <v>Jordyn Tyson</v>
      </c>
      <c r="E219" t="s">
        <v>20</v>
      </c>
      <c r="F219">
        <v>38</v>
      </c>
      <c r="G219">
        <v>93</v>
      </c>
      <c r="H219">
        <v>11.6</v>
      </c>
      <c r="I219">
        <v>9.1</v>
      </c>
      <c r="J219">
        <v>2.7</v>
      </c>
      <c r="K219">
        <v>7.8</v>
      </c>
      <c r="L219">
        <v>3.5</v>
      </c>
      <c r="M219">
        <v>9.3000000000000007</v>
      </c>
      <c r="N219">
        <v>3.7</v>
      </c>
      <c r="O219">
        <v>0</v>
      </c>
      <c r="P219">
        <v>0</v>
      </c>
      <c r="Q219">
        <v>19.8</v>
      </c>
      <c r="R219">
        <v>5.0999999999999996</v>
      </c>
      <c r="S219">
        <v>2.9</v>
      </c>
      <c r="T219">
        <v>5.6</v>
      </c>
      <c r="U219">
        <v>16.600000000000001</v>
      </c>
      <c r="V219">
        <v>4.2</v>
      </c>
      <c r="W219">
        <v>4.2</v>
      </c>
      <c r="X219">
        <v>10.4</v>
      </c>
      <c r="Y219">
        <f t="shared" si="3"/>
        <v>116.5</v>
      </c>
      <c r="Z219">
        <v>7.1</v>
      </c>
      <c r="AA219">
        <v>7</v>
      </c>
      <c r="AB219">
        <v>1</v>
      </c>
      <c r="AC219">
        <v>4</v>
      </c>
      <c r="AD219">
        <v>2</v>
      </c>
      <c r="AE219">
        <v>0</v>
      </c>
      <c r="AF219">
        <v>0</v>
      </c>
      <c r="AG219">
        <v>0</v>
      </c>
      <c r="AH219">
        <v>0.23529411764705882</v>
      </c>
      <c r="AI219">
        <v>0.11764705882352941</v>
      </c>
      <c r="AJ219">
        <v>0</v>
      </c>
      <c r="AK219">
        <v>0</v>
      </c>
      <c r="AL219">
        <v>0</v>
      </c>
    </row>
    <row r="220" spans="1:38" x14ac:dyDescent="0.25">
      <c r="A220">
        <v>2025</v>
      </c>
      <c r="B220" t="s">
        <v>135</v>
      </c>
      <c r="C220" t="s">
        <v>78</v>
      </c>
      <c r="D220" t="str" cm="1">
        <f t="array" ref="D220">_xlfn.XLOOKUP(1,('26 WR'!A:A=E220)*('26 WR'!B:B=F220),'26 WR'!C:C)</f>
        <v>Brian Thomas Jr.</v>
      </c>
      <c r="E220" t="s">
        <v>20</v>
      </c>
      <c r="F220">
        <v>39</v>
      </c>
      <c r="G220">
        <v>97</v>
      </c>
      <c r="H220">
        <v>11.7</v>
      </c>
      <c r="I220">
        <v>7.2</v>
      </c>
      <c r="J220">
        <v>5.3</v>
      </c>
      <c r="K220">
        <v>16.100000000000001</v>
      </c>
      <c r="L220">
        <v>24.6</v>
      </c>
      <c r="M220">
        <v>5.8</v>
      </c>
      <c r="N220">
        <v>13.9</v>
      </c>
      <c r="O220">
        <v>10.4</v>
      </c>
      <c r="P220">
        <v>12.8</v>
      </c>
      <c r="Q220">
        <v>15.6</v>
      </c>
      <c r="R220">
        <v>19.5</v>
      </c>
      <c r="S220">
        <v>4</v>
      </c>
      <c r="T220">
        <v>5.6</v>
      </c>
      <c r="U220">
        <v>0</v>
      </c>
      <c r="V220">
        <v>5.6</v>
      </c>
      <c r="W220">
        <v>22.8</v>
      </c>
      <c r="X220">
        <v>22.1</v>
      </c>
      <c r="Y220">
        <f t="shared" si="3"/>
        <v>203</v>
      </c>
      <c r="Z220">
        <v>12.4</v>
      </c>
      <c r="AA220">
        <v>7</v>
      </c>
      <c r="AB220">
        <v>1</v>
      </c>
      <c r="AC220">
        <v>10</v>
      </c>
      <c r="AD220">
        <v>6</v>
      </c>
      <c r="AE220">
        <v>3</v>
      </c>
      <c r="AF220">
        <v>0</v>
      </c>
      <c r="AG220">
        <v>0</v>
      </c>
      <c r="AH220">
        <v>0.58823529411764708</v>
      </c>
      <c r="AI220">
        <v>0.35294117647058826</v>
      </c>
      <c r="AJ220">
        <v>0.17647058823529413</v>
      </c>
      <c r="AK220">
        <v>0</v>
      </c>
      <c r="AL220">
        <v>0</v>
      </c>
    </row>
    <row r="221" spans="1:38" x14ac:dyDescent="0.25">
      <c r="A221">
        <v>2025</v>
      </c>
      <c r="B221" t="s">
        <v>136</v>
      </c>
      <c r="C221" t="s">
        <v>96</v>
      </c>
      <c r="D221" t="str" cm="1">
        <f t="array" ref="D221">_xlfn.XLOOKUP(1,('26 WR'!A:A=E221)*('26 WR'!B:B=F221),'26 WR'!C:C)</f>
        <v>Wan'Dale Robinson</v>
      </c>
      <c r="E221" t="s">
        <v>20</v>
      </c>
      <c r="F221">
        <v>40</v>
      </c>
      <c r="G221">
        <v>98</v>
      </c>
      <c r="H221">
        <v>12.4</v>
      </c>
      <c r="I221">
        <v>11.4</v>
      </c>
      <c r="J221">
        <v>15.7</v>
      </c>
      <c r="K221">
        <v>10</v>
      </c>
      <c r="L221">
        <v>12.9</v>
      </c>
      <c r="M221">
        <v>15.8</v>
      </c>
      <c r="N221">
        <v>26.8</v>
      </c>
      <c r="O221">
        <v>14</v>
      </c>
      <c r="P221">
        <v>8.6999999999999993</v>
      </c>
      <c r="Q221">
        <v>21.4</v>
      </c>
      <c r="R221">
        <v>0</v>
      </c>
      <c r="S221">
        <v>16</v>
      </c>
      <c r="T221">
        <v>14.7</v>
      </c>
      <c r="U221">
        <v>6</v>
      </c>
      <c r="V221">
        <v>20.5</v>
      </c>
      <c r="W221">
        <v>36.799999999999997</v>
      </c>
      <c r="X221">
        <v>25.9</v>
      </c>
      <c r="Y221">
        <f t="shared" si="3"/>
        <v>268.99999999999994</v>
      </c>
      <c r="Z221">
        <v>16.8</v>
      </c>
      <c r="AA221">
        <v>7</v>
      </c>
      <c r="AB221">
        <v>1</v>
      </c>
      <c r="AC221">
        <v>13</v>
      </c>
      <c r="AD221">
        <v>8</v>
      </c>
      <c r="AE221">
        <v>5</v>
      </c>
      <c r="AF221">
        <v>3</v>
      </c>
      <c r="AG221">
        <v>1</v>
      </c>
      <c r="AH221">
        <v>0.76470588235294112</v>
      </c>
      <c r="AI221">
        <v>0.5</v>
      </c>
      <c r="AJ221">
        <v>0.3125</v>
      </c>
      <c r="AK221">
        <v>0.1875</v>
      </c>
      <c r="AL221">
        <v>6.25E-2</v>
      </c>
    </row>
    <row r="222" spans="1:38" x14ac:dyDescent="0.25">
      <c r="A222">
        <v>2025</v>
      </c>
      <c r="B222" t="s">
        <v>139</v>
      </c>
      <c r="C222" t="s">
        <v>51</v>
      </c>
      <c r="D222" t="str" cm="1">
        <f t="array" ref="D222">_xlfn.XLOOKUP(1,('26 WR'!A:A=E222)*('26 WR'!B:B=F222),'26 WR'!C:C)</f>
        <v>Jakobi Meyers</v>
      </c>
      <c r="E222" t="s">
        <v>20</v>
      </c>
      <c r="F222">
        <v>41</v>
      </c>
      <c r="G222">
        <v>101</v>
      </c>
      <c r="H222">
        <v>17.7</v>
      </c>
      <c r="I222">
        <v>12.8</v>
      </c>
      <c r="J222">
        <v>9.3000000000000007</v>
      </c>
      <c r="K222">
        <v>7</v>
      </c>
      <c r="L222">
        <v>7.2</v>
      </c>
      <c r="M222">
        <v>7.9</v>
      </c>
      <c r="N222">
        <v>0</v>
      </c>
      <c r="O222">
        <v>0</v>
      </c>
      <c r="P222">
        <v>6.3</v>
      </c>
      <c r="Q222">
        <v>7.1</v>
      </c>
      <c r="R222">
        <v>11.4</v>
      </c>
      <c r="S222">
        <v>15</v>
      </c>
      <c r="T222">
        <v>21.3</v>
      </c>
      <c r="U222">
        <v>14.8</v>
      </c>
      <c r="V222">
        <v>12.1</v>
      </c>
      <c r="W222">
        <v>8.6</v>
      </c>
      <c r="X222">
        <v>7.9</v>
      </c>
      <c r="Y222">
        <f t="shared" si="3"/>
        <v>166.4</v>
      </c>
      <c r="Z222">
        <v>11</v>
      </c>
      <c r="AA222">
        <v>7</v>
      </c>
      <c r="AB222">
        <v>1</v>
      </c>
      <c r="AC222">
        <v>7</v>
      </c>
      <c r="AD222">
        <v>2</v>
      </c>
      <c r="AE222">
        <v>1</v>
      </c>
      <c r="AF222">
        <v>0</v>
      </c>
      <c r="AG222">
        <v>0</v>
      </c>
      <c r="AH222">
        <v>0.41176470588235292</v>
      </c>
      <c r="AI222">
        <v>0.125</v>
      </c>
      <c r="AJ222">
        <v>6.25E-2</v>
      </c>
      <c r="AK222">
        <v>0</v>
      </c>
      <c r="AL222">
        <v>0</v>
      </c>
    </row>
    <row r="223" spans="1:38" x14ac:dyDescent="0.25">
      <c r="A223">
        <v>2025</v>
      </c>
      <c r="B223" t="s">
        <v>145</v>
      </c>
      <c r="C223" t="s">
        <v>74</v>
      </c>
      <c r="D223" t="str" cm="1">
        <f t="array" ref="D223">_xlfn.XLOOKUP(1,('26 WR'!A:A=E223)*('26 WR'!B:B=F223),'26 WR'!C:C)</f>
        <v>Makai Lemon</v>
      </c>
      <c r="E223" t="s">
        <v>20</v>
      </c>
      <c r="F223">
        <v>42</v>
      </c>
      <c r="G223">
        <v>108</v>
      </c>
      <c r="H223">
        <v>3.5</v>
      </c>
      <c r="I223">
        <v>16</v>
      </c>
      <c r="J223">
        <v>5.0999999999999996</v>
      </c>
      <c r="K223">
        <v>6.6</v>
      </c>
      <c r="L223">
        <v>11.9</v>
      </c>
      <c r="M223">
        <v>12</v>
      </c>
      <c r="N223">
        <v>3.2</v>
      </c>
      <c r="O223">
        <v>0</v>
      </c>
      <c r="P223">
        <v>0</v>
      </c>
      <c r="Q223">
        <v>9.4</v>
      </c>
      <c r="R223">
        <v>5.3</v>
      </c>
      <c r="S223">
        <v>4.4000000000000004</v>
      </c>
      <c r="T223">
        <v>5.4</v>
      </c>
      <c r="U223">
        <v>11.5</v>
      </c>
      <c r="V223">
        <v>9.6</v>
      </c>
      <c r="W223">
        <v>6.9</v>
      </c>
      <c r="X223">
        <v>1.6</v>
      </c>
      <c r="Y223">
        <f t="shared" si="3"/>
        <v>112.4</v>
      </c>
      <c r="Z223">
        <v>7.3</v>
      </c>
      <c r="AA223">
        <v>8</v>
      </c>
      <c r="AB223">
        <v>1</v>
      </c>
      <c r="AC223">
        <v>4</v>
      </c>
      <c r="AD223">
        <v>1</v>
      </c>
      <c r="AE223">
        <v>0</v>
      </c>
      <c r="AF223">
        <v>0</v>
      </c>
      <c r="AG223">
        <v>0</v>
      </c>
      <c r="AH223">
        <v>0.23529411764705882</v>
      </c>
      <c r="AI223">
        <v>6.25E-2</v>
      </c>
      <c r="AJ223">
        <v>0</v>
      </c>
      <c r="AK223">
        <v>0</v>
      </c>
      <c r="AL223">
        <v>0</v>
      </c>
    </row>
    <row r="224" spans="1:38" x14ac:dyDescent="0.25">
      <c r="A224">
        <v>2025</v>
      </c>
      <c r="B224" t="s">
        <v>148</v>
      </c>
      <c r="C224" t="s">
        <v>68</v>
      </c>
      <c r="D224" t="str" cm="1">
        <f t="array" ref="D224">_xlfn.XLOOKUP(1,('26 WR'!A:A=E224)*('26 WR'!B:B=F224),'26 WR'!C:C)</f>
        <v>Parker Washington</v>
      </c>
      <c r="E224" t="s">
        <v>20</v>
      </c>
      <c r="F224">
        <v>43</v>
      </c>
      <c r="G224">
        <v>110</v>
      </c>
      <c r="H224">
        <v>25.2</v>
      </c>
      <c r="I224">
        <v>5.6</v>
      </c>
      <c r="J224">
        <v>5</v>
      </c>
      <c r="K224">
        <v>7.5</v>
      </c>
      <c r="L224">
        <v>10.3</v>
      </c>
      <c r="M224">
        <v>4.0999999999999996</v>
      </c>
      <c r="N224">
        <v>0</v>
      </c>
      <c r="O224">
        <v>6</v>
      </c>
      <c r="P224">
        <v>3.7</v>
      </c>
      <c r="Q224">
        <v>13.6</v>
      </c>
      <c r="R224">
        <v>0</v>
      </c>
      <c r="S224">
        <v>0</v>
      </c>
      <c r="T224">
        <v>8.9</v>
      </c>
      <c r="U224">
        <v>3.6</v>
      </c>
      <c r="V224">
        <v>0</v>
      </c>
      <c r="W224">
        <v>0</v>
      </c>
      <c r="X224">
        <v>0</v>
      </c>
      <c r="Y224">
        <f t="shared" si="3"/>
        <v>93.499999999999986</v>
      </c>
      <c r="Z224">
        <v>7.9</v>
      </c>
      <c r="AA224">
        <v>8</v>
      </c>
      <c r="AB224">
        <v>1</v>
      </c>
      <c r="AC224">
        <v>3</v>
      </c>
      <c r="AD224">
        <v>1</v>
      </c>
      <c r="AE224">
        <v>1</v>
      </c>
      <c r="AF224">
        <v>1</v>
      </c>
      <c r="AG224">
        <v>0</v>
      </c>
      <c r="AH224">
        <v>0.17647058823529413</v>
      </c>
      <c r="AI224">
        <v>7.6923076923076927E-2</v>
      </c>
      <c r="AJ224">
        <v>7.6923076923076927E-2</v>
      </c>
      <c r="AK224">
        <v>7.6923076923076927E-2</v>
      </c>
      <c r="AL224">
        <v>0</v>
      </c>
    </row>
    <row r="225" spans="1:38" x14ac:dyDescent="0.25">
      <c r="A225">
        <v>2025</v>
      </c>
      <c r="B225" t="s">
        <v>149</v>
      </c>
      <c r="C225" t="s">
        <v>31</v>
      </c>
      <c r="D225" t="str" cm="1">
        <f t="array" ref="D225">_xlfn.XLOOKUP(1,('26 WR'!A:A=E225)*('26 WR'!B:B=F225),'26 WR'!C:C)</f>
        <v>Josh Downs</v>
      </c>
      <c r="E225" t="s">
        <v>20</v>
      </c>
      <c r="F225">
        <v>44</v>
      </c>
      <c r="G225">
        <v>112</v>
      </c>
      <c r="H225">
        <v>0</v>
      </c>
      <c r="I225">
        <v>0</v>
      </c>
      <c r="J225">
        <v>0</v>
      </c>
      <c r="K225">
        <v>15.4</v>
      </c>
      <c r="L225">
        <v>15.1</v>
      </c>
      <c r="M225">
        <v>0</v>
      </c>
      <c r="N225">
        <v>21.8</v>
      </c>
      <c r="O225">
        <v>11.6</v>
      </c>
      <c r="P225">
        <v>8.4</v>
      </c>
      <c r="Q225">
        <v>6.5</v>
      </c>
      <c r="R225">
        <v>10</v>
      </c>
      <c r="S225">
        <v>0</v>
      </c>
      <c r="T225">
        <v>8.6</v>
      </c>
      <c r="U225">
        <v>10.199999999999999</v>
      </c>
      <c r="V225">
        <v>8.6</v>
      </c>
      <c r="W225">
        <v>4.5999999999999996</v>
      </c>
      <c r="X225">
        <v>12.5</v>
      </c>
      <c r="Y225">
        <f t="shared" si="3"/>
        <v>133.29999999999998</v>
      </c>
      <c r="Z225">
        <v>9.6999999999999993</v>
      </c>
      <c r="AA225">
        <v>8</v>
      </c>
      <c r="AB225">
        <v>1</v>
      </c>
      <c r="AC225">
        <v>6</v>
      </c>
      <c r="AD225">
        <v>3</v>
      </c>
      <c r="AE225">
        <v>1</v>
      </c>
      <c r="AF225">
        <v>0</v>
      </c>
      <c r="AG225">
        <v>0</v>
      </c>
      <c r="AH225">
        <v>0.35294117647058826</v>
      </c>
      <c r="AI225">
        <v>0.21428571428571427</v>
      </c>
      <c r="AJ225">
        <v>7.1428571428571425E-2</v>
      </c>
      <c r="AK225">
        <v>0</v>
      </c>
      <c r="AL225">
        <v>0</v>
      </c>
    </row>
    <row r="226" spans="1:38" x14ac:dyDescent="0.25">
      <c r="A226">
        <v>2025</v>
      </c>
      <c r="B226" t="s">
        <v>152</v>
      </c>
      <c r="C226" t="s">
        <v>26</v>
      </c>
      <c r="D226" t="str" cm="1">
        <f t="array" ref="D226">_xlfn.XLOOKUP(1,('26 WR'!A:A=E226)*('26 WR'!B:B=F226),'26 WR'!C:C)</f>
        <v>Ricky Pearsall</v>
      </c>
      <c r="E226" t="s">
        <v>20</v>
      </c>
      <c r="F226">
        <v>45</v>
      </c>
      <c r="G226">
        <v>115</v>
      </c>
      <c r="H226">
        <v>3.6</v>
      </c>
      <c r="I226">
        <v>19.899999999999999</v>
      </c>
      <c r="J226">
        <v>0</v>
      </c>
      <c r="K226">
        <v>6.4</v>
      </c>
      <c r="L226">
        <v>0</v>
      </c>
      <c r="M226">
        <v>1.7</v>
      </c>
      <c r="N226">
        <v>7.1</v>
      </c>
      <c r="O226">
        <v>8.5</v>
      </c>
      <c r="P226">
        <v>14.1</v>
      </c>
      <c r="Q226">
        <v>17.100000000000001</v>
      </c>
      <c r="R226">
        <v>9.4</v>
      </c>
      <c r="S226">
        <v>15.1</v>
      </c>
      <c r="T226">
        <v>13.9</v>
      </c>
      <c r="U226">
        <v>0</v>
      </c>
      <c r="V226">
        <v>18.7</v>
      </c>
      <c r="W226">
        <v>18.100000000000001</v>
      </c>
      <c r="X226">
        <v>12.2</v>
      </c>
      <c r="Y226">
        <f t="shared" si="3"/>
        <v>165.79999999999998</v>
      </c>
      <c r="Z226">
        <v>11.6</v>
      </c>
      <c r="AA226">
        <v>8</v>
      </c>
      <c r="AB226">
        <v>1</v>
      </c>
      <c r="AC226">
        <v>8</v>
      </c>
      <c r="AD226">
        <v>5</v>
      </c>
      <c r="AE226">
        <v>0</v>
      </c>
      <c r="AF226">
        <v>0</v>
      </c>
      <c r="AG226">
        <v>0</v>
      </c>
      <c r="AH226">
        <v>0.47058823529411764</v>
      </c>
      <c r="AI226">
        <v>0.33333333333333331</v>
      </c>
      <c r="AJ226">
        <v>0</v>
      </c>
      <c r="AK226">
        <v>0</v>
      </c>
      <c r="AL226">
        <v>0</v>
      </c>
    </row>
    <row r="227" spans="1:38" x14ac:dyDescent="0.25">
      <c r="A227">
        <v>2025</v>
      </c>
      <c r="B227" t="s">
        <v>154</v>
      </c>
      <c r="C227" t="s">
        <v>68</v>
      </c>
      <c r="D227" t="str" cm="1">
        <f t="array" ref="D227">_xlfn.XLOOKUP(1,('26 WR'!A:A=E227)*('26 WR'!B:B=F227),'26 WR'!C:C)</f>
        <v>Jordan Addison</v>
      </c>
      <c r="E227" t="s">
        <v>20</v>
      </c>
      <c r="F227">
        <v>46</v>
      </c>
      <c r="G227">
        <v>117</v>
      </c>
      <c r="H227">
        <v>12.4</v>
      </c>
      <c r="I227">
        <v>2.2000000000000002</v>
      </c>
      <c r="J227">
        <v>14.5</v>
      </c>
      <c r="K227">
        <v>17.899999999999999</v>
      </c>
      <c r="L227">
        <v>11</v>
      </c>
      <c r="M227">
        <v>6.3</v>
      </c>
      <c r="N227">
        <v>0</v>
      </c>
      <c r="O227">
        <v>20.8</v>
      </c>
      <c r="P227">
        <v>11.3</v>
      </c>
      <c r="Q227">
        <v>12.8</v>
      </c>
      <c r="R227">
        <v>0.7</v>
      </c>
      <c r="S227">
        <v>17</v>
      </c>
      <c r="T227">
        <v>1.5</v>
      </c>
      <c r="U227">
        <v>9.6</v>
      </c>
      <c r="V227">
        <v>11.5</v>
      </c>
      <c r="W227">
        <v>7.4</v>
      </c>
      <c r="X227">
        <v>9.5</v>
      </c>
      <c r="Y227">
        <f t="shared" si="3"/>
        <v>166.39999999999998</v>
      </c>
      <c r="Z227">
        <v>10.4</v>
      </c>
      <c r="AA227">
        <v>8</v>
      </c>
      <c r="AB227">
        <v>1</v>
      </c>
      <c r="AC227">
        <v>9</v>
      </c>
      <c r="AD227">
        <v>3</v>
      </c>
      <c r="AE227">
        <v>1</v>
      </c>
      <c r="AF227">
        <v>0</v>
      </c>
      <c r="AG227">
        <v>0</v>
      </c>
      <c r="AH227">
        <v>0.52941176470588236</v>
      </c>
      <c r="AI227">
        <v>0.1875</v>
      </c>
      <c r="AJ227">
        <v>6.25E-2</v>
      </c>
      <c r="AK227">
        <v>0</v>
      </c>
      <c r="AL227">
        <v>0</v>
      </c>
    </row>
    <row r="228" spans="1:38" x14ac:dyDescent="0.25">
      <c r="A228">
        <v>2025</v>
      </c>
      <c r="B228" t="s">
        <v>155</v>
      </c>
      <c r="C228" t="s">
        <v>55</v>
      </c>
      <c r="D228" t="str" cm="1">
        <f t="array" ref="D228">_xlfn.XLOOKUP(1,('26 WR'!A:A=E228)*('26 WR'!B:B=F228),'26 WR'!C:C)</f>
        <v>Quentin Johnston</v>
      </c>
      <c r="E228" t="s">
        <v>20</v>
      </c>
      <c r="F228">
        <v>47</v>
      </c>
      <c r="G228">
        <v>118</v>
      </c>
      <c r="H228">
        <v>20</v>
      </c>
      <c r="I228">
        <v>8</v>
      </c>
      <c r="J228">
        <v>19.3</v>
      </c>
      <c r="K228">
        <v>15.1</v>
      </c>
      <c r="L228">
        <v>14.9</v>
      </c>
      <c r="M228">
        <v>4</v>
      </c>
      <c r="N228">
        <v>20.8</v>
      </c>
      <c r="O228">
        <v>23.5</v>
      </c>
      <c r="P228">
        <v>20.5</v>
      </c>
      <c r="Q228">
        <v>3.9</v>
      </c>
      <c r="R228">
        <v>0</v>
      </c>
      <c r="S228">
        <v>13.7</v>
      </c>
      <c r="T228">
        <v>2.2999999999999998</v>
      </c>
      <c r="U228">
        <v>16.899999999999999</v>
      </c>
      <c r="V228">
        <v>5.6</v>
      </c>
      <c r="W228">
        <v>7.2</v>
      </c>
      <c r="X228">
        <v>3.6</v>
      </c>
      <c r="Y228">
        <f t="shared" si="3"/>
        <v>199.29999999999998</v>
      </c>
      <c r="Z228">
        <v>11.9</v>
      </c>
      <c r="AA228">
        <v>8</v>
      </c>
      <c r="AB228">
        <v>1</v>
      </c>
      <c r="AC228">
        <v>9</v>
      </c>
      <c r="AD228">
        <v>7</v>
      </c>
      <c r="AE228">
        <v>3</v>
      </c>
      <c r="AF228">
        <v>0</v>
      </c>
      <c r="AG228">
        <v>0</v>
      </c>
      <c r="AH228">
        <v>0.52941176470588236</v>
      </c>
      <c r="AI228">
        <v>0.41176470588235292</v>
      </c>
      <c r="AJ228">
        <v>0.17647058823529413</v>
      </c>
      <c r="AK228">
        <v>0</v>
      </c>
      <c r="AL228">
        <v>0</v>
      </c>
    </row>
    <row r="229" spans="1:38" x14ac:dyDescent="0.25">
      <c r="A229">
        <v>2025</v>
      </c>
      <c r="B229" t="s">
        <v>156</v>
      </c>
      <c r="C229" t="s">
        <v>57</v>
      </c>
      <c r="D229" t="str" cm="1">
        <f t="array" ref="D229">_xlfn.XLOOKUP(1,('26 WR'!A:A=E229)*('26 WR'!B:B=F229),'26 WR'!C:C)</f>
        <v>Jayden Reed</v>
      </c>
      <c r="E229" t="s">
        <v>20</v>
      </c>
      <c r="F229">
        <v>48</v>
      </c>
      <c r="G229">
        <v>120</v>
      </c>
      <c r="H229">
        <v>0</v>
      </c>
      <c r="I229">
        <v>0</v>
      </c>
      <c r="J229">
        <v>0</v>
      </c>
      <c r="K229">
        <v>5.6</v>
      </c>
      <c r="L229">
        <v>5.6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2.9</v>
      </c>
      <c r="T229">
        <v>10.8</v>
      </c>
      <c r="U229">
        <v>10.5</v>
      </c>
      <c r="V229">
        <v>14</v>
      </c>
      <c r="W229">
        <v>8</v>
      </c>
      <c r="X229">
        <v>23.8</v>
      </c>
      <c r="Y229">
        <f t="shared" si="3"/>
        <v>81.2</v>
      </c>
      <c r="Z229">
        <v>9.1999999999999993</v>
      </c>
      <c r="AA229">
        <v>10</v>
      </c>
      <c r="AB229">
        <v>1</v>
      </c>
      <c r="AC229">
        <v>4</v>
      </c>
      <c r="AD229">
        <v>1</v>
      </c>
      <c r="AE229">
        <v>1</v>
      </c>
      <c r="AF229">
        <v>0</v>
      </c>
      <c r="AG229">
        <v>0</v>
      </c>
      <c r="AH229">
        <v>0.23529411764705882</v>
      </c>
      <c r="AI229">
        <v>0.1111111111111111</v>
      </c>
      <c r="AJ229">
        <v>0.1111111111111111</v>
      </c>
      <c r="AK229">
        <v>0</v>
      </c>
      <c r="AL229">
        <v>0</v>
      </c>
    </row>
    <row r="230" spans="1:38" x14ac:dyDescent="0.25">
      <c r="A230">
        <v>2025</v>
      </c>
      <c r="B230" t="s">
        <v>164</v>
      </c>
      <c r="C230" t="s">
        <v>55</v>
      </c>
      <c r="D230" t="str" cm="1">
        <f t="array" ref="D230">_xlfn.XLOOKUP(1,('26 WR'!A:A=E230)*('26 WR'!B:B=F230),'26 WR'!C:C)</f>
        <v>Khalil Shakir</v>
      </c>
      <c r="E230" t="s">
        <v>20</v>
      </c>
      <c r="F230">
        <v>49</v>
      </c>
      <c r="G230">
        <v>125</v>
      </c>
      <c r="H230">
        <v>3.2</v>
      </c>
      <c r="I230">
        <v>11.1</v>
      </c>
      <c r="J230">
        <v>5.4</v>
      </c>
      <c r="K230">
        <v>6.4</v>
      </c>
      <c r="L230">
        <v>11.4</v>
      </c>
      <c r="M230">
        <v>16.2</v>
      </c>
      <c r="N230">
        <v>0</v>
      </c>
      <c r="O230">
        <v>12.9</v>
      </c>
      <c r="P230">
        <v>15.7</v>
      </c>
      <c r="Q230">
        <v>1.3</v>
      </c>
      <c r="R230">
        <v>0</v>
      </c>
      <c r="S230">
        <v>3</v>
      </c>
      <c r="T230">
        <v>6.4</v>
      </c>
      <c r="U230">
        <v>6.3</v>
      </c>
      <c r="V230">
        <v>10.3</v>
      </c>
      <c r="W230">
        <v>11.8</v>
      </c>
      <c r="X230">
        <v>5.4</v>
      </c>
      <c r="Y230">
        <f t="shared" si="3"/>
        <v>126.80000000000001</v>
      </c>
      <c r="Z230">
        <v>8.5</v>
      </c>
      <c r="AA230">
        <v>9</v>
      </c>
      <c r="AB230">
        <v>1</v>
      </c>
      <c r="AC230">
        <v>7</v>
      </c>
      <c r="AD230">
        <v>2</v>
      </c>
      <c r="AE230">
        <v>0</v>
      </c>
      <c r="AF230">
        <v>0</v>
      </c>
      <c r="AG230">
        <v>0</v>
      </c>
      <c r="AH230">
        <v>0.41176470588235292</v>
      </c>
      <c r="AI230">
        <v>0.125</v>
      </c>
      <c r="AJ230">
        <v>0</v>
      </c>
      <c r="AK230">
        <v>0</v>
      </c>
      <c r="AL230">
        <v>0</v>
      </c>
    </row>
    <row r="231" spans="1:38" x14ac:dyDescent="0.25">
      <c r="A231">
        <v>2025</v>
      </c>
      <c r="B231" t="s">
        <v>168</v>
      </c>
      <c r="C231" t="s">
        <v>65</v>
      </c>
      <c r="D231" t="str" cm="1">
        <f t="array" ref="D231">_xlfn.XLOOKUP(1,('26 WR'!A:A=E231)*('26 WR'!B:B=F231),'26 WR'!C:C)</f>
        <v>Jayden Higgins</v>
      </c>
      <c r="E231" t="s">
        <v>20</v>
      </c>
      <c r="F231">
        <v>50</v>
      </c>
      <c r="G231">
        <v>128</v>
      </c>
      <c r="H231">
        <v>19.8</v>
      </c>
      <c r="I231">
        <v>17.100000000000001</v>
      </c>
      <c r="J231">
        <v>19.5</v>
      </c>
      <c r="K231">
        <v>8.6999999999999993</v>
      </c>
      <c r="L231">
        <v>10.8</v>
      </c>
      <c r="M231">
        <v>6.7</v>
      </c>
      <c r="N231">
        <v>28.9</v>
      </c>
      <c r="O231">
        <v>8.4</v>
      </c>
      <c r="P231">
        <v>6.1</v>
      </c>
      <c r="Q231">
        <v>3.9</v>
      </c>
      <c r="R231">
        <v>9.3000000000000007</v>
      </c>
      <c r="S231">
        <v>0</v>
      </c>
      <c r="T231">
        <v>7</v>
      </c>
      <c r="U231">
        <v>5.2</v>
      </c>
      <c r="V231">
        <v>8.6</v>
      </c>
      <c r="W231">
        <v>9.4</v>
      </c>
      <c r="X231">
        <v>2.7</v>
      </c>
      <c r="Y231">
        <f t="shared" si="3"/>
        <v>172.1</v>
      </c>
      <c r="Z231">
        <v>10.7</v>
      </c>
      <c r="AA231">
        <v>9</v>
      </c>
      <c r="AB231">
        <v>1</v>
      </c>
      <c r="AC231">
        <v>6</v>
      </c>
      <c r="AD231">
        <v>4</v>
      </c>
      <c r="AE231">
        <v>1</v>
      </c>
      <c r="AF231">
        <v>1</v>
      </c>
      <c r="AG231">
        <v>0</v>
      </c>
      <c r="AH231">
        <v>0.35294117647058826</v>
      </c>
      <c r="AI231">
        <v>0.23529411764705882</v>
      </c>
      <c r="AJ231">
        <v>5.8823529411764705E-2</v>
      </c>
      <c r="AK231">
        <v>5.8823529411764705E-2</v>
      </c>
      <c r="AL231">
        <v>0</v>
      </c>
    </row>
    <row r="232" spans="1:38" x14ac:dyDescent="0.25">
      <c r="A232">
        <v>2025</v>
      </c>
      <c r="B232" t="s">
        <v>172</v>
      </c>
      <c r="C232" t="s">
        <v>74</v>
      </c>
      <c r="D232" t="str" cm="1">
        <f t="array" ref="D232">_xlfn.XLOOKUP(1,('26 WR'!A:A=E232)*('26 WR'!B:B=F232),'26 WR'!C:C)</f>
        <v>Xavier Worthy</v>
      </c>
      <c r="E232" t="s">
        <v>20</v>
      </c>
      <c r="F232">
        <v>51</v>
      </c>
      <c r="G232">
        <v>132</v>
      </c>
      <c r="H232">
        <v>9.3000000000000007</v>
      </c>
      <c r="I232">
        <v>15.2</v>
      </c>
      <c r="J232">
        <v>8.1999999999999993</v>
      </c>
      <c r="K232">
        <v>9.1999999999999993</v>
      </c>
      <c r="L232">
        <v>21.4</v>
      </c>
      <c r="M232">
        <v>6.8</v>
      </c>
      <c r="N232">
        <v>8</v>
      </c>
      <c r="O232">
        <v>14.5</v>
      </c>
      <c r="P232">
        <v>11.8</v>
      </c>
      <c r="Q232">
        <v>3.3</v>
      </c>
      <c r="R232">
        <v>4.9000000000000004</v>
      </c>
      <c r="S232">
        <v>0.5</v>
      </c>
      <c r="T232">
        <v>2.6</v>
      </c>
      <c r="U232">
        <v>16.7</v>
      </c>
      <c r="V232">
        <v>12.1</v>
      </c>
      <c r="W232">
        <v>9.1</v>
      </c>
      <c r="X232">
        <v>1.8</v>
      </c>
      <c r="Y232">
        <f t="shared" si="3"/>
        <v>155.4</v>
      </c>
      <c r="Z232">
        <v>8.6999999999999993</v>
      </c>
      <c r="AA232">
        <v>10</v>
      </c>
      <c r="AB232">
        <v>1</v>
      </c>
      <c r="AC232">
        <v>6</v>
      </c>
      <c r="AD232">
        <v>3</v>
      </c>
      <c r="AE232">
        <v>1</v>
      </c>
      <c r="AF232">
        <v>0</v>
      </c>
      <c r="AG232">
        <v>0</v>
      </c>
      <c r="AH232">
        <v>0.35294117647058826</v>
      </c>
      <c r="AI232">
        <v>0.16666666666666666</v>
      </c>
      <c r="AJ232">
        <v>5.5555555555555552E-2</v>
      </c>
      <c r="AK232">
        <v>0</v>
      </c>
      <c r="AL232">
        <v>0</v>
      </c>
    </row>
    <row r="233" spans="1:38" x14ac:dyDescent="0.25">
      <c r="A233">
        <v>2025</v>
      </c>
      <c r="B233" t="s">
        <v>175</v>
      </c>
      <c r="C233" t="s">
        <v>61</v>
      </c>
      <c r="D233" t="str" cm="1">
        <f t="array" ref="D233">_xlfn.XLOOKUP(1,('26 WR'!A:A=E233)*('26 WR'!B:B=F233),'26 WR'!C:C)</f>
        <v>KC Concepcion</v>
      </c>
      <c r="E233" t="s">
        <v>20</v>
      </c>
      <c r="F233">
        <v>52</v>
      </c>
      <c r="G233">
        <v>135</v>
      </c>
      <c r="H233">
        <v>13.5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9.3000000000000007</v>
      </c>
      <c r="V233">
        <v>10.5</v>
      </c>
      <c r="W233">
        <v>7.1</v>
      </c>
      <c r="X233">
        <v>8.1</v>
      </c>
      <c r="Y233">
        <f t="shared" si="3"/>
        <v>48.5</v>
      </c>
      <c r="Z233">
        <v>6.9</v>
      </c>
      <c r="AA233">
        <v>20</v>
      </c>
      <c r="AB233">
        <v>1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0.11764705882352941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2025</v>
      </c>
      <c r="B234" t="s">
        <v>177</v>
      </c>
      <c r="C234" t="s">
        <v>39</v>
      </c>
      <c r="D234" t="str" cm="1">
        <f t="array" ref="D234">_xlfn.XLOOKUP(1,('26 WR'!A:A=E234)*('26 WR'!B:B=F234),'26 WR'!C:C)</f>
        <v>Romeo Doubs</v>
      </c>
      <c r="E234" t="s">
        <v>20</v>
      </c>
      <c r="F234">
        <v>53</v>
      </c>
      <c r="G234">
        <v>137</v>
      </c>
      <c r="H234">
        <v>0</v>
      </c>
      <c r="I234">
        <v>0</v>
      </c>
      <c r="J234">
        <v>5.5</v>
      </c>
      <c r="K234">
        <v>5</v>
      </c>
      <c r="L234">
        <v>10.4</v>
      </c>
      <c r="M234">
        <v>0</v>
      </c>
      <c r="N234">
        <v>0</v>
      </c>
      <c r="O234">
        <v>0</v>
      </c>
      <c r="P234">
        <v>6.6</v>
      </c>
      <c r="Q234">
        <v>1.3</v>
      </c>
      <c r="R234">
        <v>1.6</v>
      </c>
      <c r="S234">
        <v>16.399999999999999</v>
      </c>
      <c r="T234">
        <v>0</v>
      </c>
      <c r="U234">
        <v>1.6</v>
      </c>
      <c r="V234">
        <v>0</v>
      </c>
      <c r="W234">
        <v>6.7</v>
      </c>
      <c r="X234">
        <v>2.1</v>
      </c>
      <c r="Y234">
        <f t="shared" si="3"/>
        <v>57.2</v>
      </c>
      <c r="Z234">
        <v>4.5</v>
      </c>
      <c r="AA234">
        <v>10</v>
      </c>
      <c r="AB234">
        <v>1</v>
      </c>
      <c r="AC234">
        <v>2</v>
      </c>
      <c r="AD234">
        <v>1</v>
      </c>
      <c r="AE234">
        <v>0</v>
      </c>
      <c r="AF234">
        <v>0</v>
      </c>
      <c r="AG234">
        <v>0</v>
      </c>
      <c r="AH234">
        <v>0.11764705882352941</v>
      </c>
      <c r="AI234">
        <v>7.6923076923076927E-2</v>
      </c>
      <c r="AJ234">
        <v>0</v>
      </c>
      <c r="AK234">
        <v>0</v>
      </c>
      <c r="AL234">
        <v>0</v>
      </c>
    </row>
    <row r="235" spans="1:38" x14ac:dyDescent="0.25">
      <c r="A235">
        <v>2025</v>
      </c>
      <c r="B235" t="s">
        <v>178</v>
      </c>
      <c r="C235" t="s">
        <v>39</v>
      </c>
      <c r="D235" t="str" cm="1">
        <f t="array" ref="D235">_xlfn.XLOOKUP(1,('26 WR'!A:A=E235)*('26 WR'!B:B=F235),'26 WR'!C:C)</f>
        <v>Jalen Coker</v>
      </c>
      <c r="E235" t="s">
        <v>20</v>
      </c>
      <c r="F235">
        <v>54</v>
      </c>
      <c r="G235">
        <v>138</v>
      </c>
      <c r="H235">
        <v>5.2</v>
      </c>
      <c r="I235">
        <v>3.8</v>
      </c>
      <c r="J235">
        <v>1.5</v>
      </c>
      <c r="K235">
        <v>9.4</v>
      </c>
      <c r="L235">
        <v>7.2</v>
      </c>
      <c r="M235">
        <v>0</v>
      </c>
      <c r="N235">
        <v>0</v>
      </c>
      <c r="O235">
        <v>13.4</v>
      </c>
      <c r="P235">
        <v>1.4</v>
      </c>
      <c r="Q235">
        <v>15.2</v>
      </c>
      <c r="R235">
        <v>9.5</v>
      </c>
      <c r="S235">
        <v>13.8</v>
      </c>
      <c r="T235">
        <v>11.5</v>
      </c>
      <c r="U235">
        <v>6.4</v>
      </c>
      <c r="V235">
        <v>1.4</v>
      </c>
      <c r="W235">
        <v>2.7</v>
      </c>
      <c r="X235">
        <v>16.8</v>
      </c>
      <c r="Y235">
        <f t="shared" si="3"/>
        <v>119.2</v>
      </c>
      <c r="Z235">
        <v>7.6</v>
      </c>
      <c r="AA235">
        <v>10</v>
      </c>
      <c r="AB235">
        <v>1</v>
      </c>
      <c r="AC235">
        <v>6</v>
      </c>
      <c r="AD235">
        <v>2</v>
      </c>
      <c r="AE235">
        <v>0</v>
      </c>
      <c r="AF235">
        <v>0</v>
      </c>
      <c r="AG235">
        <v>0</v>
      </c>
      <c r="AH235">
        <v>0.35294117647058826</v>
      </c>
      <c r="AI235">
        <v>0.11764705882352941</v>
      </c>
      <c r="AJ235">
        <v>0</v>
      </c>
      <c r="AK235">
        <v>0</v>
      </c>
      <c r="AL235">
        <v>0</v>
      </c>
    </row>
    <row r="236" spans="1:38" x14ac:dyDescent="0.25">
      <c r="A236">
        <v>2025</v>
      </c>
      <c r="B236" t="s">
        <v>184</v>
      </c>
      <c r="C236" t="s">
        <v>78</v>
      </c>
      <c r="D236" t="str" cm="1">
        <f t="array" ref="D236">_xlfn.XLOOKUP(1,('26 WR'!A:A=E236)*('26 WR'!B:B=F236),'26 WR'!C:C)</f>
        <v>Matthew Golden</v>
      </c>
      <c r="E236" t="s">
        <v>20</v>
      </c>
      <c r="F236">
        <v>55</v>
      </c>
      <c r="G236">
        <v>144</v>
      </c>
      <c r="H236">
        <v>8.1999999999999993</v>
      </c>
      <c r="I236">
        <v>1.8</v>
      </c>
      <c r="J236">
        <v>2.7</v>
      </c>
      <c r="K236">
        <v>0</v>
      </c>
      <c r="L236">
        <v>3.7</v>
      </c>
      <c r="M236">
        <v>16.100000000000001</v>
      </c>
      <c r="N236">
        <v>4.7</v>
      </c>
      <c r="O236">
        <v>5.7</v>
      </c>
      <c r="P236">
        <v>20</v>
      </c>
      <c r="Q236">
        <v>5.4</v>
      </c>
      <c r="R236">
        <v>6.1</v>
      </c>
      <c r="S236">
        <v>6.1</v>
      </c>
      <c r="T236">
        <v>6.3</v>
      </c>
      <c r="U236">
        <v>0</v>
      </c>
      <c r="V236">
        <v>0.5</v>
      </c>
      <c r="W236">
        <v>1.6</v>
      </c>
      <c r="X236">
        <v>2</v>
      </c>
      <c r="Y236">
        <f t="shared" si="3"/>
        <v>90.899999999999991</v>
      </c>
      <c r="Z236">
        <v>5.6</v>
      </c>
      <c r="AA236">
        <v>13</v>
      </c>
      <c r="AB236">
        <v>1</v>
      </c>
      <c r="AC236">
        <v>2</v>
      </c>
      <c r="AD236">
        <v>2</v>
      </c>
      <c r="AE236">
        <v>0</v>
      </c>
      <c r="AF236">
        <v>0</v>
      </c>
      <c r="AG236">
        <v>0</v>
      </c>
      <c r="AH236">
        <v>0.11764705882352941</v>
      </c>
      <c r="AI236">
        <v>0.11764705882352941</v>
      </c>
      <c r="AJ236">
        <v>0</v>
      </c>
      <c r="AK236">
        <v>0</v>
      </c>
      <c r="AL236">
        <v>0</v>
      </c>
    </row>
    <row r="237" spans="1:38" x14ac:dyDescent="0.25">
      <c r="A237">
        <v>2025</v>
      </c>
      <c r="B237" t="s">
        <v>187</v>
      </c>
      <c r="C237" t="s">
        <v>98</v>
      </c>
      <c r="D237" t="str" cm="1">
        <f t="array" ref="D237">_xlfn.XLOOKUP(1,('26 WR'!A:A=E237)*('26 WR'!B:B=F237),'26 WR'!C:C)</f>
        <v>Jauan Jennings</v>
      </c>
      <c r="E237" t="s">
        <v>20</v>
      </c>
      <c r="F237">
        <v>56</v>
      </c>
      <c r="G237">
        <v>147</v>
      </c>
      <c r="H237">
        <v>2.2000000000000002</v>
      </c>
      <c r="I237">
        <v>10.4</v>
      </c>
      <c r="J237">
        <v>1.4</v>
      </c>
      <c r="K237">
        <v>20.5</v>
      </c>
      <c r="L237">
        <v>3.9</v>
      </c>
      <c r="M237">
        <v>4.8</v>
      </c>
      <c r="N237">
        <v>15.8</v>
      </c>
      <c r="O237">
        <v>1.8</v>
      </c>
      <c r="P237">
        <v>0</v>
      </c>
      <c r="Q237">
        <v>0</v>
      </c>
      <c r="R237">
        <v>0.2</v>
      </c>
      <c r="S237">
        <v>0</v>
      </c>
      <c r="T237">
        <v>3.7</v>
      </c>
      <c r="U237">
        <v>7.7</v>
      </c>
      <c r="V237">
        <v>7.7</v>
      </c>
      <c r="W237">
        <v>5.9</v>
      </c>
      <c r="X237">
        <v>4</v>
      </c>
      <c r="Y237">
        <f t="shared" si="3"/>
        <v>90.000000000000014</v>
      </c>
      <c r="Z237">
        <v>5.8</v>
      </c>
      <c r="AA237">
        <v>11</v>
      </c>
      <c r="AB237">
        <v>1</v>
      </c>
      <c r="AC237">
        <v>3</v>
      </c>
      <c r="AD237">
        <v>2</v>
      </c>
      <c r="AE237">
        <v>1</v>
      </c>
      <c r="AF237">
        <v>0</v>
      </c>
      <c r="AG237">
        <v>0</v>
      </c>
      <c r="AH237">
        <v>0.17647058823529413</v>
      </c>
      <c r="AI237">
        <v>0.125</v>
      </c>
      <c r="AJ237">
        <v>6.25E-2</v>
      </c>
      <c r="AK237">
        <v>0</v>
      </c>
      <c r="AL237">
        <v>0</v>
      </c>
    </row>
    <row r="238" spans="1:38" x14ac:dyDescent="0.25">
      <c r="A238">
        <v>2025</v>
      </c>
      <c r="B238" t="s">
        <v>190</v>
      </c>
      <c r="C238" t="s">
        <v>68</v>
      </c>
      <c r="D238" t="str" cm="1">
        <f t="array" ref="D238">_xlfn.XLOOKUP(1,('26 WR'!A:A=E238)*('26 WR'!B:B=F238),'26 WR'!C:C)</f>
        <v>Rashid Shaheed</v>
      </c>
      <c r="E238" t="s">
        <v>20</v>
      </c>
      <c r="F238">
        <v>57</v>
      </c>
      <c r="G238">
        <v>149</v>
      </c>
      <c r="H238">
        <v>11.1</v>
      </c>
      <c r="I238">
        <v>6.7</v>
      </c>
      <c r="J238">
        <v>1.5</v>
      </c>
      <c r="K238">
        <v>4.5</v>
      </c>
      <c r="L238">
        <v>5.6</v>
      </c>
      <c r="M238">
        <v>8</v>
      </c>
      <c r="N238">
        <v>0</v>
      </c>
      <c r="O238">
        <v>0</v>
      </c>
      <c r="P238">
        <v>0</v>
      </c>
      <c r="Q238">
        <v>0</v>
      </c>
      <c r="R238">
        <v>3.7</v>
      </c>
      <c r="S238">
        <v>4.0999999999999996</v>
      </c>
      <c r="T238">
        <v>0</v>
      </c>
      <c r="U238">
        <v>0</v>
      </c>
      <c r="V238">
        <v>2.6</v>
      </c>
      <c r="W238">
        <v>1.2</v>
      </c>
      <c r="X238">
        <v>2.2000000000000002</v>
      </c>
      <c r="Y238">
        <f t="shared" si="3"/>
        <v>51.20000000000001</v>
      </c>
      <c r="Z238">
        <v>4.4000000000000004</v>
      </c>
      <c r="AA238">
        <v>13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5.8823529411764705E-2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2025</v>
      </c>
      <c r="B239" t="s">
        <v>192</v>
      </c>
      <c r="C239" t="s">
        <v>61</v>
      </c>
      <c r="D239" t="str" cm="1">
        <f t="array" ref="D239">_xlfn.XLOOKUP(1,('26 WR'!A:A=E239)*('26 WR'!B:B=F239),'26 WR'!C:C)</f>
        <v>Jerry Jeudy</v>
      </c>
      <c r="E239" t="s">
        <v>20</v>
      </c>
      <c r="F239">
        <v>58</v>
      </c>
      <c r="G239">
        <v>150</v>
      </c>
      <c r="H239">
        <v>8.8000000000000007</v>
      </c>
      <c r="I239">
        <v>11.8</v>
      </c>
      <c r="J239">
        <v>4.5</v>
      </c>
      <c r="K239">
        <v>29.8</v>
      </c>
      <c r="L239">
        <v>0</v>
      </c>
      <c r="M239">
        <v>10.5</v>
      </c>
      <c r="N239">
        <v>13.2</v>
      </c>
      <c r="O239">
        <v>9.4</v>
      </c>
      <c r="P239">
        <v>16.100000000000001</v>
      </c>
      <c r="Q239">
        <v>1.5</v>
      </c>
      <c r="R239">
        <v>9.3000000000000007</v>
      </c>
      <c r="S239">
        <v>4.3</v>
      </c>
      <c r="T239">
        <v>12</v>
      </c>
      <c r="U239">
        <v>0</v>
      </c>
      <c r="V239">
        <v>5.6</v>
      </c>
      <c r="W239">
        <v>19.399999999999999</v>
      </c>
      <c r="X239">
        <v>9.1999999999999993</v>
      </c>
      <c r="Y239">
        <f t="shared" si="3"/>
        <v>165.4</v>
      </c>
      <c r="Z239">
        <v>10.3</v>
      </c>
      <c r="AA239">
        <v>13</v>
      </c>
      <c r="AB239">
        <v>1</v>
      </c>
      <c r="AC239">
        <v>7</v>
      </c>
      <c r="AD239">
        <v>3</v>
      </c>
      <c r="AE239">
        <v>1</v>
      </c>
      <c r="AF239">
        <v>1</v>
      </c>
      <c r="AG239">
        <v>0</v>
      </c>
      <c r="AH239">
        <v>0.41176470588235292</v>
      </c>
      <c r="AI239">
        <v>0.1875</v>
      </c>
      <c r="AJ239">
        <v>6.25E-2</v>
      </c>
      <c r="AK239">
        <v>6.25E-2</v>
      </c>
      <c r="AL239">
        <v>0</v>
      </c>
    </row>
    <row r="240" spans="1:38" x14ac:dyDescent="0.25">
      <c r="A240">
        <v>2025</v>
      </c>
      <c r="B240" t="s">
        <v>194</v>
      </c>
      <c r="C240" t="s">
        <v>132</v>
      </c>
      <c r="D240" t="str" cm="1">
        <f t="array" ref="D240">_xlfn.XLOOKUP(1,('26 WR'!A:A=E240)*('26 WR'!B:B=F240),'26 WR'!C:C)</f>
        <v>Omar Cooper Jr.</v>
      </c>
      <c r="E240" t="s">
        <v>20</v>
      </c>
      <c r="F240">
        <v>59</v>
      </c>
      <c r="G240">
        <v>152</v>
      </c>
      <c r="H240">
        <v>16.2</v>
      </c>
      <c r="I240">
        <v>10.199999999999999</v>
      </c>
      <c r="J240">
        <v>5.6</v>
      </c>
      <c r="K240">
        <v>1.6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3.1</v>
      </c>
      <c r="R240">
        <v>8.1999999999999993</v>
      </c>
      <c r="S240">
        <v>1.5</v>
      </c>
      <c r="T240">
        <v>0</v>
      </c>
      <c r="U240">
        <v>3.3</v>
      </c>
      <c r="V240">
        <v>0</v>
      </c>
      <c r="W240">
        <v>1.8</v>
      </c>
      <c r="X240">
        <v>5.2</v>
      </c>
      <c r="Y240">
        <f t="shared" si="3"/>
        <v>56.7</v>
      </c>
      <c r="Z240">
        <v>4.5999999999999996</v>
      </c>
      <c r="AA240">
        <v>13</v>
      </c>
      <c r="AB240">
        <v>1</v>
      </c>
      <c r="AC240">
        <v>2</v>
      </c>
      <c r="AD240">
        <v>1</v>
      </c>
      <c r="AE240">
        <v>0</v>
      </c>
      <c r="AF240">
        <v>0</v>
      </c>
      <c r="AG240">
        <v>0</v>
      </c>
      <c r="AH240">
        <v>0.11764705882352941</v>
      </c>
      <c r="AI240">
        <v>7.6923076923076927E-2</v>
      </c>
      <c r="AJ240">
        <v>0</v>
      </c>
      <c r="AK240">
        <v>0</v>
      </c>
      <c r="AL240">
        <v>0</v>
      </c>
    </row>
    <row r="241" spans="1:38" x14ac:dyDescent="0.25">
      <c r="A241">
        <v>2025</v>
      </c>
      <c r="B241" t="s">
        <v>197</v>
      </c>
      <c r="C241" t="s">
        <v>92</v>
      </c>
      <c r="D241" t="str" cm="1">
        <f t="array" ref="D241">_xlfn.XLOOKUP(1,('26 WR'!A:A=E241)*('26 WR'!B:B=F241),'26 WR'!C:C)</f>
        <v>Denzel Boston</v>
      </c>
      <c r="E241" t="s">
        <v>20</v>
      </c>
      <c r="F241">
        <v>60</v>
      </c>
      <c r="G241">
        <v>155</v>
      </c>
      <c r="H241">
        <v>4</v>
      </c>
      <c r="I241">
        <v>0.8</v>
      </c>
      <c r="J241">
        <v>0</v>
      </c>
      <c r="K241">
        <v>0</v>
      </c>
      <c r="L241">
        <v>11.1</v>
      </c>
      <c r="M241">
        <v>3.1</v>
      </c>
      <c r="N241">
        <v>24.2</v>
      </c>
      <c r="O241">
        <v>3.7</v>
      </c>
      <c r="P241">
        <v>3.2</v>
      </c>
      <c r="Q241">
        <v>0</v>
      </c>
      <c r="R241">
        <v>18.3</v>
      </c>
      <c r="S241">
        <v>5.2</v>
      </c>
      <c r="T241">
        <v>1.1000000000000001</v>
      </c>
      <c r="U241">
        <v>0</v>
      </c>
      <c r="V241">
        <v>5.9</v>
      </c>
      <c r="W241">
        <v>2.2000000000000002</v>
      </c>
      <c r="X241">
        <v>1.3</v>
      </c>
      <c r="Y241">
        <f t="shared" si="3"/>
        <v>84.100000000000009</v>
      </c>
      <c r="Z241">
        <v>6</v>
      </c>
      <c r="AA241">
        <v>14</v>
      </c>
      <c r="AB241">
        <v>1</v>
      </c>
      <c r="AC241">
        <v>3</v>
      </c>
      <c r="AD241">
        <v>2</v>
      </c>
      <c r="AE241">
        <v>1</v>
      </c>
      <c r="AF241">
        <v>0</v>
      </c>
      <c r="AG241">
        <v>0</v>
      </c>
      <c r="AH241">
        <v>0.17647058823529413</v>
      </c>
      <c r="AI241">
        <v>0.13333333333333333</v>
      </c>
      <c r="AJ241">
        <v>6.6666666666666666E-2</v>
      </c>
      <c r="AK241">
        <v>0</v>
      </c>
      <c r="AL241">
        <v>0</v>
      </c>
    </row>
    <row r="242" spans="1:38" x14ac:dyDescent="0.25">
      <c r="A242">
        <v>2025</v>
      </c>
      <c r="B242" t="s">
        <v>201</v>
      </c>
      <c r="C242" t="s">
        <v>37</v>
      </c>
      <c r="D242" t="str" cm="1">
        <f t="array" ref="D242">_xlfn.XLOOKUP(1,('26 WR'!A:A=E242)*('26 WR'!B:B=F242),'26 WR'!C:C)</f>
        <v>Travis Hunter</v>
      </c>
      <c r="E242" t="s">
        <v>20</v>
      </c>
      <c r="F242">
        <v>61</v>
      </c>
      <c r="G242">
        <v>159</v>
      </c>
      <c r="H242">
        <v>8.3000000000000007</v>
      </c>
      <c r="I242">
        <v>3.9</v>
      </c>
      <c r="J242">
        <v>0</v>
      </c>
      <c r="K242">
        <v>0</v>
      </c>
      <c r="L242">
        <v>8.1999999999999993</v>
      </c>
      <c r="M242">
        <v>0</v>
      </c>
      <c r="N242">
        <v>0</v>
      </c>
      <c r="O242">
        <v>0</v>
      </c>
      <c r="P242">
        <v>0</v>
      </c>
      <c r="Q242">
        <v>2.1</v>
      </c>
      <c r="R242">
        <v>0</v>
      </c>
      <c r="S242">
        <v>0</v>
      </c>
      <c r="T242">
        <v>11.5</v>
      </c>
      <c r="U242">
        <v>10</v>
      </c>
      <c r="V242">
        <v>0</v>
      </c>
      <c r="W242">
        <v>15.2</v>
      </c>
      <c r="X242">
        <v>13.9</v>
      </c>
      <c r="Y242">
        <f t="shared" si="3"/>
        <v>73.100000000000009</v>
      </c>
      <c r="Z242">
        <v>4.5</v>
      </c>
      <c r="AA242">
        <v>14</v>
      </c>
      <c r="AB242">
        <v>1</v>
      </c>
      <c r="AC242">
        <v>3</v>
      </c>
      <c r="AD242">
        <v>1</v>
      </c>
      <c r="AE242">
        <v>0</v>
      </c>
      <c r="AF242">
        <v>0</v>
      </c>
      <c r="AG242">
        <v>0</v>
      </c>
      <c r="AH242">
        <v>0.17647058823529413</v>
      </c>
      <c r="AI242">
        <v>5.8823529411764705E-2</v>
      </c>
      <c r="AJ242">
        <v>0</v>
      </c>
      <c r="AK242">
        <v>0</v>
      </c>
      <c r="AL242">
        <v>0</v>
      </c>
    </row>
    <row r="243" spans="1:38" x14ac:dyDescent="0.25">
      <c r="A243">
        <v>2025</v>
      </c>
      <c r="B243" t="s">
        <v>204</v>
      </c>
      <c r="C243" t="s">
        <v>85</v>
      </c>
      <c r="D243" t="str" cm="1">
        <f t="array" ref="D243">_xlfn.XLOOKUP(1,('26 WR'!A:A=E243)*('26 WR'!B:B=F243),'26 WR'!C:C)</f>
        <v>Jalen McMillan</v>
      </c>
      <c r="E243" t="s">
        <v>20</v>
      </c>
      <c r="F243">
        <v>62</v>
      </c>
      <c r="G243">
        <v>161</v>
      </c>
      <c r="H243">
        <v>19.899999999999999</v>
      </c>
      <c r="I243">
        <v>8</v>
      </c>
      <c r="J243">
        <v>8.1999999999999993</v>
      </c>
      <c r="K243">
        <v>12.8</v>
      </c>
      <c r="L243">
        <v>8.8000000000000007</v>
      </c>
      <c r="M243">
        <v>20.5</v>
      </c>
      <c r="N243">
        <v>9.4</v>
      </c>
      <c r="O243">
        <v>0</v>
      </c>
      <c r="P243">
        <v>9.3000000000000007</v>
      </c>
      <c r="Q243">
        <v>0</v>
      </c>
      <c r="R243">
        <v>8</v>
      </c>
      <c r="S243">
        <v>2</v>
      </c>
      <c r="T243">
        <v>10</v>
      </c>
      <c r="U243">
        <v>4.5</v>
      </c>
      <c r="V243">
        <v>0</v>
      </c>
      <c r="W243">
        <v>5.2</v>
      </c>
      <c r="X243">
        <v>1.7</v>
      </c>
      <c r="Y243">
        <f t="shared" si="3"/>
        <v>128.29999999999998</v>
      </c>
      <c r="Z243">
        <v>8.6</v>
      </c>
      <c r="AA243">
        <v>14</v>
      </c>
      <c r="AB243">
        <v>1</v>
      </c>
      <c r="AC243">
        <v>3</v>
      </c>
      <c r="AD243">
        <v>2</v>
      </c>
      <c r="AE243">
        <v>1</v>
      </c>
      <c r="AF243">
        <v>0</v>
      </c>
      <c r="AG243">
        <v>0</v>
      </c>
      <c r="AH243">
        <v>0.17647058823529413</v>
      </c>
      <c r="AI243">
        <v>0.125</v>
      </c>
      <c r="AJ243">
        <v>6.25E-2</v>
      </c>
      <c r="AK243">
        <v>0</v>
      </c>
      <c r="AL243">
        <v>0</v>
      </c>
    </row>
    <row r="244" spans="1:38" x14ac:dyDescent="0.25">
      <c r="A244">
        <v>2025</v>
      </c>
      <c r="B244" t="s">
        <v>206</v>
      </c>
      <c r="C244" t="s">
        <v>41</v>
      </c>
      <c r="D244" t="str" cm="1">
        <f t="array" ref="D244">_xlfn.XLOOKUP(1,('26 WR'!A:A=E244)*('26 WR'!B:B=F244),'26 WR'!C:C)</f>
        <v>Adonai Mitchell</v>
      </c>
      <c r="E244" t="s">
        <v>20</v>
      </c>
      <c r="F244">
        <v>63</v>
      </c>
      <c r="G244">
        <v>163</v>
      </c>
      <c r="H244">
        <v>3</v>
      </c>
      <c r="I244">
        <v>3.5</v>
      </c>
      <c r="J244">
        <v>17.3</v>
      </c>
      <c r="K244">
        <v>3.4</v>
      </c>
      <c r="L244">
        <v>0</v>
      </c>
      <c r="M244">
        <v>1.8</v>
      </c>
      <c r="N244">
        <v>0</v>
      </c>
      <c r="O244">
        <v>7.1</v>
      </c>
      <c r="P244">
        <v>9.3000000000000007</v>
      </c>
      <c r="Q244">
        <v>4</v>
      </c>
      <c r="R244">
        <v>0</v>
      </c>
      <c r="S244">
        <v>0</v>
      </c>
      <c r="T244">
        <v>0</v>
      </c>
      <c r="U244">
        <v>4.3</v>
      </c>
      <c r="V244">
        <v>0</v>
      </c>
      <c r="W244">
        <v>0</v>
      </c>
      <c r="X244">
        <v>1.7</v>
      </c>
      <c r="Y244">
        <f t="shared" si="3"/>
        <v>55.400000000000006</v>
      </c>
      <c r="Z244">
        <v>4.3</v>
      </c>
      <c r="AA244">
        <v>11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5.8823529411764705E-2</v>
      </c>
      <c r="AI244">
        <v>7.6923076923076927E-2</v>
      </c>
      <c r="AJ244">
        <v>0</v>
      </c>
      <c r="AK244">
        <v>0</v>
      </c>
      <c r="AL244">
        <v>0</v>
      </c>
    </row>
    <row r="245" spans="1:38" x14ac:dyDescent="0.25">
      <c r="A245">
        <v>2025</v>
      </c>
      <c r="B245" t="s">
        <v>209</v>
      </c>
      <c r="C245" t="s">
        <v>43</v>
      </c>
      <c r="D245" t="str" cm="1">
        <f t="array" ref="D245">_xlfn.XLOOKUP(1,('26 WR'!A:A=E245)*('26 WR'!B:B=F245),'26 WR'!C:C)</f>
        <v>Tre' Harris</v>
      </c>
      <c r="E245" t="s">
        <v>20</v>
      </c>
      <c r="F245">
        <v>64</v>
      </c>
      <c r="G245">
        <v>166</v>
      </c>
      <c r="H245">
        <v>11.5</v>
      </c>
      <c r="I245">
        <v>28.2</v>
      </c>
      <c r="J245">
        <v>3.6</v>
      </c>
      <c r="K245">
        <v>4.4000000000000004</v>
      </c>
      <c r="L245">
        <v>8.1999999999999993</v>
      </c>
      <c r="M245">
        <v>20.399999999999999</v>
      </c>
      <c r="N245">
        <v>15.5</v>
      </c>
      <c r="O245">
        <v>7.8</v>
      </c>
      <c r="P245">
        <v>13.6</v>
      </c>
      <c r="Q245">
        <v>12.2</v>
      </c>
      <c r="R245">
        <v>7.6</v>
      </c>
      <c r="S245">
        <v>30.6</v>
      </c>
      <c r="T245">
        <v>10.4</v>
      </c>
      <c r="U245">
        <v>0</v>
      </c>
      <c r="V245">
        <v>16.399999999999999</v>
      </c>
      <c r="W245">
        <v>5.2</v>
      </c>
      <c r="X245">
        <v>22.3</v>
      </c>
      <c r="Y245">
        <f t="shared" si="3"/>
        <v>217.9</v>
      </c>
      <c r="Z245">
        <v>13.6</v>
      </c>
      <c r="AA245">
        <v>15</v>
      </c>
      <c r="AB245">
        <v>1</v>
      </c>
      <c r="AC245">
        <v>10</v>
      </c>
      <c r="AD245">
        <v>6</v>
      </c>
      <c r="AE245">
        <v>4</v>
      </c>
      <c r="AF245">
        <v>2</v>
      </c>
      <c r="AG245">
        <v>1</v>
      </c>
      <c r="AH245">
        <v>0.58823529411764708</v>
      </c>
      <c r="AI245">
        <v>0.375</v>
      </c>
      <c r="AJ245">
        <v>0.25</v>
      </c>
      <c r="AK245">
        <v>0.125</v>
      </c>
      <c r="AL245">
        <v>6.25E-2</v>
      </c>
    </row>
    <row r="246" spans="1:38" x14ac:dyDescent="0.25">
      <c r="A246">
        <v>2025</v>
      </c>
      <c r="B246" t="s">
        <v>210</v>
      </c>
      <c r="C246" t="s">
        <v>65</v>
      </c>
      <c r="D246" t="str" cm="1">
        <f t="array" ref="D246">_xlfn.XLOOKUP(1,('26 WR'!A:A=E246)*('26 WR'!B:B=F246),'26 WR'!C:C)</f>
        <v>Tre Tucker</v>
      </c>
      <c r="E246" t="s">
        <v>20</v>
      </c>
      <c r="F246">
        <v>65</v>
      </c>
      <c r="G246">
        <v>167</v>
      </c>
      <c r="H246">
        <v>2.1</v>
      </c>
      <c r="I246">
        <v>5.4</v>
      </c>
      <c r="J246">
        <v>0</v>
      </c>
      <c r="K246">
        <v>0</v>
      </c>
      <c r="L246">
        <v>0</v>
      </c>
      <c r="M246">
        <v>6.7</v>
      </c>
      <c r="N246">
        <v>4.3</v>
      </c>
      <c r="O246">
        <v>8.8000000000000007</v>
      </c>
      <c r="P246">
        <v>3.8</v>
      </c>
      <c r="Q246">
        <v>2.4</v>
      </c>
      <c r="R246">
        <v>2.2000000000000002</v>
      </c>
      <c r="S246">
        <v>0</v>
      </c>
      <c r="T246">
        <v>6</v>
      </c>
      <c r="U246">
        <v>3.1</v>
      </c>
      <c r="V246">
        <v>7.9</v>
      </c>
      <c r="W246">
        <v>9.4</v>
      </c>
      <c r="X246">
        <v>2.5</v>
      </c>
      <c r="Y246">
        <f t="shared" si="3"/>
        <v>64.599999999999994</v>
      </c>
      <c r="Z246">
        <v>4.0999999999999996</v>
      </c>
      <c r="AA246">
        <v>15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2025</v>
      </c>
      <c r="B247" t="s">
        <v>215</v>
      </c>
      <c r="C247" t="s">
        <v>78</v>
      </c>
      <c r="D247" t="str" cm="1">
        <f t="array" ref="D247">_xlfn.XLOOKUP(1,('26 WR'!A:A=E247)*('26 WR'!B:B=F247),'26 WR'!C:C)</f>
        <v>Troy Franklin</v>
      </c>
      <c r="E247" t="s">
        <v>20</v>
      </c>
      <c r="F247">
        <v>66</v>
      </c>
      <c r="G247">
        <v>172</v>
      </c>
      <c r="H247">
        <v>2.2000000000000002</v>
      </c>
      <c r="I247">
        <v>0</v>
      </c>
      <c r="J247">
        <v>1.8</v>
      </c>
      <c r="K247">
        <v>0.2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14.2</v>
      </c>
      <c r="R247">
        <v>0</v>
      </c>
      <c r="S247">
        <v>2.8</v>
      </c>
      <c r="T247">
        <v>10.3</v>
      </c>
      <c r="U247">
        <v>0</v>
      </c>
      <c r="V247">
        <v>0</v>
      </c>
      <c r="W247">
        <v>12.6</v>
      </c>
      <c r="X247">
        <v>5</v>
      </c>
      <c r="Y247">
        <f t="shared" si="3"/>
        <v>49.1</v>
      </c>
      <c r="Z247">
        <v>2.9</v>
      </c>
      <c r="AA247">
        <v>15</v>
      </c>
      <c r="AB247">
        <v>1</v>
      </c>
      <c r="AC247">
        <v>3</v>
      </c>
      <c r="AD247">
        <v>0</v>
      </c>
      <c r="AE247">
        <v>0</v>
      </c>
      <c r="AF247">
        <v>0</v>
      </c>
      <c r="AG247">
        <v>0</v>
      </c>
      <c r="AH247">
        <v>0.17647058823529413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2025</v>
      </c>
      <c r="B248" t="s">
        <v>218</v>
      </c>
      <c r="C248" t="s">
        <v>24</v>
      </c>
      <c r="D248" t="str" cm="1">
        <f t="array" ref="D248">_xlfn.XLOOKUP(1,('26 WR'!A:A=E248)*('26 WR'!B:B=F248),'26 WR'!C:C)</f>
        <v>Kayshon Boutte</v>
      </c>
      <c r="E248" t="s">
        <v>20</v>
      </c>
      <c r="F248">
        <v>67</v>
      </c>
      <c r="G248">
        <v>175</v>
      </c>
      <c r="H248">
        <v>0</v>
      </c>
      <c r="I248">
        <v>4</v>
      </c>
      <c r="J248">
        <v>8.4</v>
      </c>
      <c r="K248">
        <v>2.5</v>
      </c>
      <c r="L248">
        <v>0</v>
      </c>
      <c r="M248">
        <v>0</v>
      </c>
      <c r="N248">
        <v>9.8000000000000007</v>
      </c>
      <c r="O248">
        <v>2.1</v>
      </c>
      <c r="P248">
        <v>2.5</v>
      </c>
      <c r="Q248">
        <v>2.7</v>
      </c>
      <c r="R248">
        <v>6.4</v>
      </c>
      <c r="S248">
        <v>16.399999999999999</v>
      </c>
      <c r="T248">
        <v>4.5</v>
      </c>
      <c r="U248">
        <v>1.6</v>
      </c>
      <c r="V248">
        <v>6.5</v>
      </c>
      <c r="W248">
        <v>4.4000000000000004</v>
      </c>
      <c r="X248">
        <v>5.5</v>
      </c>
      <c r="Y248">
        <f t="shared" si="3"/>
        <v>77.300000000000011</v>
      </c>
      <c r="Z248">
        <v>5.5</v>
      </c>
      <c r="AA248">
        <v>11</v>
      </c>
      <c r="AB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5.8823529411764705E-2</v>
      </c>
      <c r="AI248">
        <v>6.6666666666666666E-2</v>
      </c>
      <c r="AJ248">
        <v>0</v>
      </c>
      <c r="AK248">
        <v>0</v>
      </c>
      <c r="AL248">
        <v>0</v>
      </c>
    </row>
    <row r="249" spans="1:38" x14ac:dyDescent="0.25">
      <c r="A249">
        <v>2025</v>
      </c>
      <c r="B249" t="s">
        <v>226</v>
      </c>
      <c r="C249" t="s">
        <v>55</v>
      </c>
      <c r="D249" t="str" cm="1">
        <f t="array" ref="D249">_xlfn.XLOOKUP(1,('26 WR'!A:A=E249)*('26 WR'!B:B=F249),'26 WR'!C:C)</f>
        <v>Ryan Flournoy</v>
      </c>
      <c r="E249" t="s">
        <v>20</v>
      </c>
      <c r="F249">
        <v>68</v>
      </c>
      <c r="G249">
        <v>182</v>
      </c>
      <c r="H249">
        <v>4.5999999999999996</v>
      </c>
      <c r="I249">
        <v>10.8</v>
      </c>
      <c r="J249">
        <v>10.7</v>
      </c>
      <c r="K249">
        <v>0</v>
      </c>
      <c r="L249">
        <v>0</v>
      </c>
      <c r="M249">
        <v>6.8</v>
      </c>
      <c r="N249">
        <v>14.8</v>
      </c>
      <c r="O249">
        <v>8.9</v>
      </c>
      <c r="P249">
        <v>17.5</v>
      </c>
      <c r="Q249">
        <v>18.399999999999999</v>
      </c>
      <c r="R249">
        <v>0</v>
      </c>
      <c r="S249">
        <v>3.6</v>
      </c>
      <c r="T249">
        <v>17.8</v>
      </c>
      <c r="U249">
        <v>13</v>
      </c>
      <c r="V249">
        <v>2.6</v>
      </c>
      <c r="W249">
        <v>24.6</v>
      </c>
      <c r="X249">
        <v>0</v>
      </c>
      <c r="Y249">
        <f t="shared" si="3"/>
        <v>154.1</v>
      </c>
      <c r="Z249">
        <v>12.2</v>
      </c>
      <c r="AA249">
        <v>16</v>
      </c>
      <c r="AB249">
        <v>1</v>
      </c>
      <c r="AC249">
        <v>9</v>
      </c>
      <c r="AD249">
        <v>5</v>
      </c>
      <c r="AE249">
        <v>2</v>
      </c>
      <c r="AF249">
        <v>1</v>
      </c>
      <c r="AG249">
        <v>0</v>
      </c>
      <c r="AH249">
        <v>0.52941176470588236</v>
      </c>
      <c r="AI249">
        <v>0.33333333333333331</v>
      </c>
      <c r="AJ249">
        <v>0.13333333333333333</v>
      </c>
      <c r="AK249">
        <v>6.6666666666666666E-2</v>
      </c>
      <c r="AL249">
        <v>0</v>
      </c>
    </row>
    <row r="250" spans="1:38" x14ac:dyDescent="0.25">
      <c r="A250">
        <v>2025</v>
      </c>
      <c r="B250" t="s">
        <v>227</v>
      </c>
      <c r="C250" t="s">
        <v>98</v>
      </c>
      <c r="D250" t="str" cm="1">
        <f t="array" ref="D250">_xlfn.XLOOKUP(1,('26 WR'!A:A=E250)*('26 WR'!B:B=F250),'26 WR'!C:C)</f>
        <v>Stefon Diggs</v>
      </c>
      <c r="E250" t="s">
        <v>20</v>
      </c>
      <c r="F250">
        <v>69</v>
      </c>
      <c r="G250">
        <v>183</v>
      </c>
      <c r="H250">
        <v>0</v>
      </c>
      <c r="I250">
        <v>3.8</v>
      </c>
      <c r="J250">
        <v>0</v>
      </c>
      <c r="K250">
        <v>0</v>
      </c>
      <c r="L250">
        <v>0</v>
      </c>
      <c r="M250">
        <v>4.2</v>
      </c>
      <c r="N250">
        <v>1.6</v>
      </c>
      <c r="O250">
        <v>12</v>
      </c>
      <c r="P250">
        <v>4</v>
      </c>
      <c r="Q250">
        <v>5.3</v>
      </c>
      <c r="R250">
        <v>13.2</v>
      </c>
      <c r="S250">
        <v>0</v>
      </c>
      <c r="T250">
        <v>7.2</v>
      </c>
      <c r="U250">
        <v>7.2</v>
      </c>
      <c r="V250">
        <v>0</v>
      </c>
      <c r="W250">
        <v>9.1999999999999993</v>
      </c>
      <c r="X250">
        <v>0</v>
      </c>
      <c r="Y250">
        <f t="shared" si="3"/>
        <v>67.7</v>
      </c>
      <c r="Z250">
        <v>5</v>
      </c>
      <c r="AA250">
        <v>16</v>
      </c>
      <c r="AB250">
        <v>1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0.11764705882352941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2025</v>
      </c>
      <c r="B251" t="s">
        <v>229</v>
      </c>
      <c r="C251" t="s">
        <v>65</v>
      </c>
      <c r="D251" t="str" cm="1">
        <f t="array" ref="D251">_xlfn.XLOOKUP(1,('26 WR'!A:A=E251)*('26 WR'!B:B=F251),'26 WR'!C:C)</f>
        <v>Calvin Ridley</v>
      </c>
      <c r="E251" t="s">
        <v>20</v>
      </c>
      <c r="F251">
        <v>70</v>
      </c>
      <c r="G251">
        <v>185</v>
      </c>
      <c r="H251">
        <v>24.9</v>
      </c>
      <c r="I251">
        <v>15.9</v>
      </c>
      <c r="J251">
        <v>14.9</v>
      </c>
      <c r="K251">
        <v>23.8</v>
      </c>
      <c r="L251">
        <v>6.9</v>
      </c>
      <c r="M251">
        <v>0</v>
      </c>
      <c r="N251">
        <v>11</v>
      </c>
      <c r="O251">
        <v>0</v>
      </c>
      <c r="P251">
        <v>15.3</v>
      </c>
      <c r="Q251">
        <v>9.1999999999999993</v>
      </c>
      <c r="R251">
        <v>0</v>
      </c>
      <c r="S251">
        <v>0</v>
      </c>
      <c r="T251">
        <v>11.3</v>
      </c>
      <c r="U251">
        <v>2.8</v>
      </c>
      <c r="V251">
        <v>0</v>
      </c>
      <c r="W251">
        <v>20.399999999999999</v>
      </c>
      <c r="X251">
        <v>14.8</v>
      </c>
      <c r="Y251">
        <f t="shared" si="3"/>
        <v>171.20000000000005</v>
      </c>
      <c r="Z251">
        <v>12.2</v>
      </c>
      <c r="AA251">
        <v>16</v>
      </c>
      <c r="AB251">
        <v>1</v>
      </c>
      <c r="AC251">
        <v>9</v>
      </c>
      <c r="AD251">
        <v>5</v>
      </c>
      <c r="AE251">
        <v>3</v>
      </c>
      <c r="AF251">
        <v>0</v>
      </c>
      <c r="AG251">
        <v>0</v>
      </c>
      <c r="AH251">
        <v>0.52941176470588236</v>
      </c>
      <c r="AI251">
        <v>0.35714285714285715</v>
      </c>
      <c r="AJ251">
        <v>0.21428571428571427</v>
      </c>
      <c r="AK251">
        <v>0</v>
      </c>
      <c r="AL251">
        <v>0</v>
      </c>
    </row>
    <row r="252" spans="1:38" x14ac:dyDescent="0.25">
      <c r="A252">
        <v>2025</v>
      </c>
      <c r="B252" t="s">
        <v>231</v>
      </c>
      <c r="C252" t="s">
        <v>114</v>
      </c>
      <c r="D252" t="str" cm="1">
        <f t="array" ref="D252">_xlfn.XLOOKUP(1,('26 WR'!A:A=E252)*('26 WR'!B:B=F252),'26 WR'!C:C)</f>
        <v>Jaylin Noel</v>
      </c>
      <c r="E252" t="s">
        <v>20</v>
      </c>
      <c r="F252">
        <v>71</v>
      </c>
      <c r="G252">
        <v>187</v>
      </c>
      <c r="H252">
        <v>3.3</v>
      </c>
      <c r="I252">
        <v>15.6</v>
      </c>
      <c r="J252">
        <v>13.8</v>
      </c>
      <c r="K252">
        <v>6.4</v>
      </c>
      <c r="L252">
        <v>3.8</v>
      </c>
      <c r="M252">
        <v>5.7</v>
      </c>
      <c r="N252">
        <v>4.9000000000000004</v>
      </c>
      <c r="O252">
        <v>9.1999999999999993</v>
      </c>
      <c r="P252">
        <v>7.6</v>
      </c>
      <c r="Q252">
        <v>0</v>
      </c>
      <c r="R252">
        <v>3.1</v>
      </c>
      <c r="S252">
        <v>0</v>
      </c>
      <c r="T252">
        <v>1.5</v>
      </c>
      <c r="U252">
        <v>8.4</v>
      </c>
      <c r="V252">
        <v>2.7</v>
      </c>
      <c r="W252">
        <v>8.8000000000000007</v>
      </c>
      <c r="X252">
        <v>13.7</v>
      </c>
      <c r="Y252">
        <f t="shared" si="3"/>
        <v>108.5</v>
      </c>
      <c r="Z252">
        <v>7.3</v>
      </c>
      <c r="AA252">
        <v>16</v>
      </c>
      <c r="AB252">
        <v>1</v>
      </c>
      <c r="AC252">
        <v>3</v>
      </c>
      <c r="AD252">
        <v>1</v>
      </c>
      <c r="AE252">
        <v>0</v>
      </c>
      <c r="AF252">
        <v>0</v>
      </c>
      <c r="AG252">
        <v>0</v>
      </c>
      <c r="AH252">
        <v>0.17647058823529413</v>
      </c>
      <c r="AI252">
        <v>6.25E-2</v>
      </c>
      <c r="AJ252">
        <v>0</v>
      </c>
      <c r="AK252">
        <v>0</v>
      </c>
      <c r="AL252">
        <v>0</v>
      </c>
    </row>
    <row r="253" spans="1:38" x14ac:dyDescent="0.25">
      <c r="A253">
        <v>2025</v>
      </c>
      <c r="B253" t="s">
        <v>237</v>
      </c>
      <c r="C253" t="s">
        <v>74</v>
      </c>
      <c r="D253" t="str" cm="1">
        <f t="array" ref="D253">_xlfn.XLOOKUP(1,('26 WR'!A:A=E253)*('26 WR'!B:B=F253),'26 WR'!C:C)</f>
        <v>Isaac TeSlaa</v>
      </c>
      <c r="E253" t="s">
        <v>20</v>
      </c>
      <c r="F253">
        <v>72</v>
      </c>
      <c r="G253">
        <v>191</v>
      </c>
      <c r="H253">
        <v>0</v>
      </c>
      <c r="I253">
        <v>11.2</v>
      </c>
      <c r="J253">
        <v>18.2</v>
      </c>
      <c r="K253">
        <v>2</v>
      </c>
      <c r="L253">
        <v>12.9</v>
      </c>
      <c r="M253">
        <v>0</v>
      </c>
      <c r="N253">
        <v>0</v>
      </c>
      <c r="O253">
        <v>0</v>
      </c>
      <c r="P253">
        <v>20.8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f t="shared" si="3"/>
        <v>65.099999999999994</v>
      </c>
      <c r="Z253">
        <v>8.1</v>
      </c>
      <c r="AA253">
        <v>17</v>
      </c>
      <c r="AB253">
        <v>1</v>
      </c>
      <c r="AC253">
        <v>4</v>
      </c>
      <c r="AD253">
        <v>2</v>
      </c>
      <c r="AE253">
        <v>1</v>
      </c>
      <c r="AF253">
        <v>0</v>
      </c>
      <c r="AG253">
        <v>0</v>
      </c>
      <c r="AH253">
        <v>0.23529411764705882</v>
      </c>
      <c r="AI253">
        <v>0.25</v>
      </c>
      <c r="AJ253">
        <v>0.125</v>
      </c>
      <c r="AK253">
        <v>0</v>
      </c>
      <c r="AL253">
        <v>0</v>
      </c>
    </row>
    <row r="254" spans="1:38" x14ac:dyDescent="0.25">
      <c r="A254">
        <v>2025</v>
      </c>
      <c r="B254" t="s">
        <v>238</v>
      </c>
      <c r="C254" t="s">
        <v>41</v>
      </c>
      <c r="D254" t="str" cm="1">
        <f t="array" ref="D254">_xlfn.XLOOKUP(1,('26 WR'!A:A=E254)*('26 WR'!B:B=F254),'26 WR'!C:C)</f>
        <v>Darnell Mooney</v>
      </c>
      <c r="E254" t="s">
        <v>20</v>
      </c>
      <c r="F254">
        <v>73</v>
      </c>
      <c r="G254">
        <v>192</v>
      </c>
      <c r="H254">
        <v>11.5</v>
      </c>
      <c r="I254">
        <v>14.4</v>
      </c>
      <c r="J254">
        <v>2.2999999999999998</v>
      </c>
      <c r="K254">
        <v>0</v>
      </c>
      <c r="L254">
        <v>6.6</v>
      </c>
      <c r="M254">
        <v>4</v>
      </c>
      <c r="N254">
        <v>0</v>
      </c>
      <c r="O254">
        <v>2.4</v>
      </c>
      <c r="P254">
        <v>0</v>
      </c>
      <c r="Q254">
        <v>3.6</v>
      </c>
      <c r="R254">
        <v>2.1</v>
      </c>
      <c r="S254">
        <v>3.3</v>
      </c>
      <c r="T254">
        <v>4.5</v>
      </c>
      <c r="U254">
        <v>0</v>
      </c>
      <c r="V254">
        <v>4.2</v>
      </c>
      <c r="W254">
        <v>8.1</v>
      </c>
      <c r="X254">
        <v>0</v>
      </c>
      <c r="Y254">
        <f t="shared" si="3"/>
        <v>67</v>
      </c>
      <c r="Z254">
        <v>3.9</v>
      </c>
      <c r="AA254">
        <v>17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0</v>
      </c>
      <c r="AH254">
        <v>0.11764705882352941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2025</v>
      </c>
      <c r="B255" t="s">
        <v>240</v>
      </c>
      <c r="C255" t="s">
        <v>29</v>
      </c>
      <c r="D255" t="str" cm="1">
        <f t="array" ref="D255">_xlfn.XLOOKUP(1,('26 WR'!A:A=E255)*('26 WR'!B:B=F255),'26 WR'!C:C)</f>
        <v>Deebo Samuel Sr.</v>
      </c>
      <c r="E255" t="s">
        <v>20</v>
      </c>
      <c r="F255">
        <v>74</v>
      </c>
      <c r="G255">
        <v>195</v>
      </c>
      <c r="H255">
        <v>0</v>
      </c>
      <c r="I255">
        <v>2.9</v>
      </c>
      <c r="J255">
        <v>7.7</v>
      </c>
      <c r="K255">
        <v>0</v>
      </c>
      <c r="L255">
        <v>7.6</v>
      </c>
      <c r="M255">
        <v>1</v>
      </c>
      <c r="N255">
        <v>3.8</v>
      </c>
      <c r="O255">
        <v>0</v>
      </c>
      <c r="P255">
        <v>0</v>
      </c>
      <c r="Q255">
        <v>9.4</v>
      </c>
      <c r="R255">
        <v>6.3</v>
      </c>
      <c r="S255">
        <v>10.199999999999999</v>
      </c>
      <c r="T255">
        <v>2.1</v>
      </c>
      <c r="U255">
        <v>7.1</v>
      </c>
      <c r="V255">
        <v>3</v>
      </c>
      <c r="W255">
        <v>1.6</v>
      </c>
      <c r="X255">
        <v>8.9</v>
      </c>
      <c r="Y255">
        <f t="shared" si="3"/>
        <v>71.599999999999994</v>
      </c>
      <c r="Z255">
        <v>4.3</v>
      </c>
      <c r="AA255">
        <v>17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5.8823529411764705E-2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2025</v>
      </c>
      <c r="B256" t="s">
        <v>243</v>
      </c>
      <c r="C256" t="s">
        <v>98</v>
      </c>
      <c r="D256" t="str" cm="1">
        <f t="array" ref="D256">_xlfn.XLOOKUP(1,('26 WR'!A:A=E256)*('26 WR'!B:B=F256),'26 WR'!C:C)</f>
        <v>Pat Bryant</v>
      </c>
      <c r="E256" t="s">
        <v>20</v>
      </c>
      <c r="F256">
        <v>75</v>
      </c>
      <c r="G256">
        <v>198</v>
      </c>
      <c r="H256">
        <v>8.4</v>
      </c>
      <c r="I256">
        <v>24</v>
      </c>
      <c r="J256">
        <v>2.8</v>
      </c>
      <c r="K256">
        <v>9.5</v>
      </c>
      <c r="L256">
        <v>8.5</v>
      </c>
      <c r="M256">
        <v>3.1</v>
      </c>
      <c r="N256">
        <v>12.9</v>
      </c>
      <c r="O256">
        <v>26.9</v>
      </c>
      <c r="P256">
        <v>8.3000000000000007</v>
      </c>
      <c r="Q256">
        <v>15</v>
      </c>
      <c r="R256">
        <v>12.4</v>
      </c>
      <c r="S256">
        <v>0</v>
      </c>
      <c r="T256">
        <v>4.0999999999999996</v>
      </c>
      <c r="U256">
        <v>4.0999999999999996</v>
      </c>
      <c r="V256">
        <v>20.8</v>
      </c>
      <c r="W256">
        <v>10.6</v>
      </c>
      <c r="X256">
        <v>5.7</v>
      </c>
      <c r="Y256">
        <f t="shared" si="3"/>
        <v>177.09999999999997</v>
      </c>
      <c r="Z256">
        <v>10.4</v>
      </c>
      <c r="AA256">
        <v>17</v>
      </c>
      <c r="AB256">
        <v>1</v>
      </c>
      <c r="AC256">
        <v>7</v>
      </c>
      <c r="AD256">
        <v>3</v>
      </c>
      <c r="AE256">
        <v>3</v>
      </c>
      <c r="AF256">
        <v>1</v>
      </c>
      <c r="AG256">
        <v>0</v>
      </c>
      <c r="AH256">
        <v>0.41176470588235292</v>
      </c>
      <c r="AI256">
        <v>0.17647058823529413</v>
      </c>
      <c r="AJ256">
        <v>0.17647058823529413</v>
      </c>
      <c r="AK256">
        <v>5.8823529411764705E-2</v>
      </c>
      <c r="AL256">
        <v>0</v>
      </c>
    </row>
    <row r="257" spans="1:38" x14ac:dyDescent="0.25">
      <c r="A257">
        <v>2025</v>
      </c>
      <c r="B257" t="s">
        <v>244</v>
      </c>
      <c r="C257" t="s">
        <v>21</v>
      </c>
      <c r="D257" t="str" cm="1">
        <f t="array" ref="D257">_xlfn.XLOOKUP(1,('26 WR'!A:A=E257)*('26 WR'!B:B=F257),'26 WR'!C:C)</f>
        <v>Chimere Dike</v>
      </c>
      <c r="E257" t="s">
        <v>20</v>
      </c>
      <c r="F257">
        <v>76</v>
      </c>
      <c r="G257">
        <v>199</v>
      </c>
      <c r="H257">
        <v>0</v>
      </c>
      <c r="I257">
        <v>2.2000000000000002</v>
      </c>
      <c r="J257">
        <v>0</v>
      </c>
      <c r="K257">
        <v>3.7</v>
      </c>
      <c r="L257">
        <v>13.2</v>
      </c>
      <c r="M257">
        <v>1.5</v>
      </c>
      <c r="N257">
        <v>7.9</v>
      </c>
      <c r="O257">
        <v>0</v>
      </c>
      <c r="P257">
        <v>18</v>
      </c>
      <c r="Q257">
        <v>0</v>
      </c>
      <c r="R257">
        <v>5</v>
      </c>
      <c r="S257">
        <v>10.6</v>
      </c>
      <c r="T257">
        <v>9.9</v>
      </c>
      <c r="U257">
        <v>3.7</v>
      </c>
      <c r="V257">
        <v>0</v>
      </c>
      <c r="W257">
        <v>3.1</v>
      </c>
      <c r="X257">
        <v>8.1</v>
      </c>
      <c r="Y257">
        <f t="shared" si="3"/>
        <v>86.899999999999991</v>
      </c>
      <c r="Z257">
        <v>5.3</v>
      </c>
      <c r="AA257">
        <v>17</v>
      </c>
      <c r="AB257">
        <v>1</v>
      </c>
      <c r="AC257">
        <v>3</v>
      </c>
      <c r="AD257">
        <v>1</v>
      </c>
      <c r="AE257">
        <v>0</v>
      </c>
      <c r="AF257">
        <v>0</v>
      </c>
      <c r="AG257">
        <v>0</v>
      </c>
      <c r="AH257">
        <v>0.17647058823529413</v>
      </c>
      <c r="AI257">
        <v>5.8823529411764705E-2</v>
      </c>
      <c r="AJ257">
        <v>0</v>
      </c>
      <c r="AK257">
        <v>0</v>
      </c>
      <c r="AL257">
        <v>0</v>
      </c>
    </row>
    <row r="258" spans="1:38" x14ac:dyDescent="0.25">
      <c r="A258">
        <v>2025</v>
      </c>
      <c r="B258" t="s">
        <v>245</v>
      </c>
      <c r="C258" t="s">
        <v>92</v>
      </c>
      <c r="D258" t="str" cm="1">
        <f t="array" ref="D258">_xlfn.XLOOKUP(1,('26 WR'!A:A=E258)*('26 WR'!B:B=F258),'26 WR'!C:C)</f>
        <v>Malik Washington</v>
      </c>
      <c r="E258" t="s">
        <v>20</v>
      </c>
      <c r="F258">
        <v>77</v>
      </c>
      <c r="G258">
        <v>201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6.6</v>
      </c>
      <c r="P258">
        <v>1.9</v>
      </c>
      <c r="Q258">
        <v>5.0999999999999996</v>
      </c>
      <c r="R258">
        <v>11.2</v>
      </c>
      <c r="S258">
        <v>6.2</v>
      </c>
      <c r="T258">
        <v>17.399999999999999</v>
      </c>
      <c r="U258">
        <v>0</v>
      </c>
      <c r="V258">
        <v>14</v>
      </c>
      <c r="W258">
        <v>7.7</v>
      </c>
      <c r="X258">
        <v>3.6</v>
      </c>
      <c r="Y258">
        <f t="shared" ref="Y258:Y300" si="4">SUM(H258:X258)</f>
        <v>73.699999999999989</v>
      </c>
      <c r="Z258">
        <v>8.1999999999999993</v>
      </c>
      <c r="AA258">
        <v>17</v>
      </c>
      <c r="AB258">
        <v>1</v>
      </c>
      <c r="AC258">
        <v>4</v>
      </c>
      <c r="AD258">
        <v>2</v>
      </c>
      <c r="AE258">
        <v>0</v>
      </c>
      <c r="AF258">
        <v>0</v>
      </c>
      <c r="AG258">
        <v>0</v>
      </c>
      <c r="AH258">
        <v>0.23529411764705882</v>
      </c>
      <c r="AI258">
        <v>0.18181818181818182</v>
      </c>
      <c r="AJ258">
        <v>0</v>
      </c>
      <c r="AK258">
        <v>0</v>
      </c>
      <c r="AL258">
        <v>0</v>
      </c>
    </row>
    <row r="259" spans="1:38" x14ac:dyDescent="0.25">
      <c r="A259">
        <v>2025</v>
      </c>
      <c r="B259" t="s">
        <v>246</v>
      </c>
      <c r="C259" t="s">
        <v>43</v>
      </c>
      <c r="D259" t="str" cm="1">
        <f t="array" ref="D259">_xlfn.XLOOKUP(1,('26 WR'!A:A=E259)*('26 WR'!B:B=F259),'26 WR'!C:C)</f>
        <v>Brandon Aiyuk</v>
      </c>
      <c r="E259" t="s">
        <v>20</v>
      </c>
      <c r="F259">
        <v>78</v>
      </c>
      <c r="G259">
        <v>202</v>
      </c>
      <c r="H259">
        <v>0</v>
      </c>
      <c r="I259">
        <v>8.1</v>
      </c>
      <c r="J259">
        <v>7</v>
      </c>
      <c r="K259">
        <v>7.4</v>
      </c>
      <c r="L259">
        <v>4.0999999999999996</v>
      </c>
      <c r="M259">
        <v>0</v>
      </c>
      <c r="N259">
        <v>0</v>
      </c>
      <c r="O259">
        <v>4.5999999999999996</v>
      </c>
      <c r="P259">
        <v>11.2</v>
      </c>
      <c r="Q259">
        <v>12.9</v>
      </c>
      <c r="R259">
        <v>0</v>
      </c>
      <c r="S259">
        <v>3.3</v>
      </c>
      <c r="T259">
        <v>14.1</v>
      </c>
      <c r="U259">
        <v>0</v>
      </c>
      <c r="V259">
        <v>9.3000000000000007</v>
      </c>
      <c r="W259">
        <v>1.8</v>
      </c>
      <c r="X259">
        <v>5.6</v>
      </c>
      <c r="Y259">
        <f t="shared" si="4"/>
        <v>89.399999999999991</v>
      </c>
      <c r="Z259">
        <v>7.1</v>
      </c>
      <c r="AA259">
        <v>17</v>
      </c>
      <c r="AB259">
        <v>1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0.17647058823529413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2025</v>
      </c>
      <c r="B260" t="s">
        <v>247</v>
      </c>
      <c r="C260" t="s">
        <v>45</v>
      </c>
      <c r="D260" t="str" cm="1">
        <f t="array" ref="D260">_xlfn.XLOOKUP(1,('26 WR'!A:A=E260)*('26 WR'!B:B=F260),'26 WR'!C:C)</f>
        <v>Dontayvion Wicks</v>
      </c>
      <c r="E260" t="s">
        <v>20</v>
      </c>
      <c r="F260">
        <v>79</v>
      </c>
      <c r="G260">
        <v>203</v>
      </c>
      <c r="H260">
        <v>1.5</v>
      </c>
      <c r="I260">
        <v>8.1</v>
      </c>
      <c r="J260">
        <v>1.5</v>
      </c>
      <c r="K260">
        <v>4.5</v>
      </c>
      <c r="L260">
        <v>3.6</v>
      </c>
      <c r="M260">
        <v>8.4</v>
      </c>
      <c r="N260">
        <v>7</v>
      </c>
      <c r="O260">
        <v>0</v>
      </c>
      <c r="P260">
        <v>9.1</v>
      </c>
      <c r="Q260">
        <v>7.4</v>
      </c>
      <c r="R260">
        <v>33.5</v>
      </c>
      <c r="S260">
        <v>21.8</v>
      </c>
      <c r="T260">
        <v>6.6</v>
      </c>
      <c r="U260">
        <v>37.200000000000003</v>
      </c>
      <c r="V260">
        <v>16.399999999999999</v>
      </c>
      <c r="W260">
        <v>13.2</v>
      </c>
      <c r="X260">
        <v>19.899999999999999</v>
      </c>
      <c r="Y260">
        <f t="shared" si="4"/>
        <v>199.7</v>
      </c>
      <c r="Z260">
        <v>13</v>
      </c>
      <c r="AA260">
        <v>18</v>
      </c>
      <c r="AB260">
        <v>1</v>
      </c>
      <c r="AC260">
        <v>7</v>
      </c>
      <c r="AD260">
        <v>6</v>
      </c>
      <c r="AE260">
        <v>4</v>
      </c>
      <c r="AF260">
        <v>2</v>
      </c>
      <c r="AG260">
        <v>2</v>
      </c>
      <c r="AH260">
        <v>0.41176470588235292</v>
      </c>
      <c r="AI260">
        <v>0.35294117647058826</v>
      </c>
      <c r="AJ260">
        <v>0.23529411764705882</v>
      </c>
      <c r="AK260">
        <v>0.11764705882352941</v>
      </c>
      <c r="AL260">
        <v>0.11764705882352941</v>
      </c>
    </row>
    <row r="261" spans="1:38" x14ac:dyDescent="0.25">
      <c r="A261">
        <v>2025</v>
      </c>
      <c r="B261" t="s">
        <v>253</v>
      </c>
      <c r="C261" t="s">
        <v>29</v>
      </c>
      <c r="D261" t="str" cm="1">
        <f t="array" ref="D261">_xlfn.XLOOKUP(1,('26 WR'!A:A=E261)*('26 WR'!B:B=F261),'26 WR'!C:C)</f>
        <v>Jalen Nailor</v>
      </c>
      <c r="E261" t="s">
        <v>20</v>
      </c>
      <c r="F261">
        <v>80</v>
      </c>
      <c r="G261">
        <v>208</v>
      </c>
      <c r="H261">
        <v>3.3</v>
      </c>
      <c r="I261">
        <v>0</v>
      </c>
      <c r="J261">
        <v>2</v>
      </c>
      <c r="K261">
        <v>0</v>
      </c>
      <c r="L261">
        <v>5.7</v>
      </c>
      <c r="M261">
        <v>0</v>
      </c>
      <c r="N261">
        <v>3.3</v>
      </c>
      <c r="O261">
        <v>0</v>
      </c>
      <c r="P261">
        <v>0</v>
      </c>
      <c r="Q261">
        <v>0</v>
      </c>
      <c r="R261">
        <v>2.9</v>
      </c>
      <c r="S261">
        <v>0</v>
      </c>
      <c r="T261">
        <v>4.2</v>
      </c>
      <c r="U261">
        <v>11</v>
      </c>
      <c r="V261">
        <v>3.7</v>
      </c>
      <c r="W261">
        <v>6.3</v>
      </c>
      <c r="X261">
        <v>0</v>
      </c>
      <c r="Y261">
        <f t="shared" si="4"/>
        <v>42.4</v>
      </c>
      <c r="Z261">
        <v>2.7</v>
      </c>
      <c r="AA261">
        <v>20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5.8823529411764705E-2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2025</v>
      </c>
      <c r="B262" t="s">
        <v>256</v>
      </c>
      <c r="C262" t="s">
        <v>59</v>
      </c>
      <c r="D262" t="str" cm="1">
        <f t="array" ref="D262">_xlfn.XLOOKUP(1,('26 WR'!A:A=E262)*('26 WR'!B:B=F262),'26 WR'!C:C)</f>
        <v>Antonio Williams</v>
      </c>
      <c r="E262" t="s">
        <v>20</v>
      </c>
      <c r="F262">
        <v>81</v>
      </c>
      <c r="G262">
        <v>211</v>
      </c>
      <c r="H262">
        <v>4.9000000000000004</v>
      </c>
      <c r="I262">
        <v>9.5</v>
      </c>
      <c r="J262">
        <v>6.2</v>
      </c>
      <c r="K262">
        <v>4.0999999999999996</v>
      </c>
      <c r="L262">
        <v>4</v>
      </c>
      <c r="M262">
        <v>6.3</v>
      </c>
      <c r="N262">
        <v>8</v>
      </c>
      <c r="O262">
        <v>13.6</v>
      </c>
      <c r="P262">
        <v>7.1</v>
      </c>
      <c r="Q262">
        <v>9.3000000000000007</v>
      </c>
      <c r="R262">
        <v>7.2</v>
      </c>
      <c r="S262">
        <v>0</v>
      </c>
      <c r="T262">
        <v>7</v>
      </c>
      <c r="U262">
        <v>4</v>
      </c>
      <c r="V262">
        <v>2</v>
      </c>
      <c r="W262">
        <v>10.199999999999999</v>
      </c>
      <c r="X262">
        <v>1.5</v>
      </c>
      <c r="Y262">
        <f t="shared" si="4"/>
        <v>104.9</v>
      </c>
      <c r="Z262">
        <v>6.9</v>
      </c>
      <c r="AA262">
        <v>19</v>
      </c>
      <c r="AB262">
        <v>1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0.17647058823529413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>
        <v>2025</v>
      </c>
      <c r="B263" t="s">
        <v>258</v>
      </c>
      <c r="C263" t="s">
        <v>108</v>
      </c>
      <c r="D263" t="str" cm="1">
        <f t="array" ref="D263">_xlfn.XLOOKUP(1,('26 WR'!A:A=E263)*('26 WR'!B:B=F263),'26 WR'!C:C)</f>
        <v>De'Zhaun Stribling</v>
      </c>
      <c r="E263" t="s">
        <v>20</v>
      </c>
      <c r="F263">
        <v>82</v>
      </c>
      <c r="G263">
        <v>213</v>
      </c>
      <c r="H263">
        <v>17</v>
      </c>
      <c r="I263">
        <v>3.2</v>
      </c>
      <c r="J263">
        <v>12.4</v>
      </c>
      <c r="K263">
        <v>3.3</v>
      </c>
      <c r="L263">
        <v>0</v>
      </c>
      <c r="M263">
        <v>0</v>
      </c>
      <c r="N263">
        <v>0</v>
      </c>
      <c r="O263">
        <v>6.8</v>
      </c>
      <c r="P263">
        <v>10.6</v>
      </c>
      <c r="Q263">
        <v>3.4</v>
      </c>
      <c r="R263">
        <v>1.5</v>
      </c>
      <c r="S263">
        <v>7.6</v>
      </c>
      <c r="T263">
        <v>0</v>
      </c>
      <c r="U263">
        <v>4.0999999999999996</v>
      </c>
      <c r="V263">
        <v>0</v>
      </c>
      <c r="W263">
        <v>1.8</v>
      </c>
      <c r="X263">
        <v>0</v>
      </c>
      <c r="Y263">
        <f t="shared" si="4"/>
        <v>71.699999999999989</v>
      </c>
      <c r="Z263">
        <v>6.2</v>
      </c>
      <c r="AA263">
        <v>19</v>
      </c>
      <c r="AB263">
        <v>1</v>
      </c>
      <c r="AC263">
        <v>4</v>
      </c>
      <c r="AD263">
        <v>1</v>
      </c>
      <c r="AE263">
        <v>0</v>
      </c>
      <c r="AF263">
        <v>0</v>
      </c>
      <c r="AG263">
        <v>0</v>
      </c>
      <c r="AH263">
        <v>0.23529411764705882</v>
      </c>
      <c r="AI263">
        <v>7.1428571428571425E-2</v>
      </c>
      <c r="AJ263">
        <v>0</v>
      </c>
      <c r="AK263">
        <v>0</v>
      </c>
      <c r="AL263">
        <v>0</v>
      </c>
    </row>
    <row r="264" spans="1:38" x14ac:dyDescent="0.25">
      <c r="A264">
        <v>2025</v>
      </c>
      <c r="B264" t="s">
        <v>259</v>
      </c>
      <c r="C264" t="s">
        <v>51</v>
      </c>
      <c r="D264" t="str" cm="1">
        <f t="array" ref="D264">_xlfn.XLOOKUP(1,('26 WR'!A:A=E264)*('26 WR'!B:B=F264),'26 WR'!C:C)</f>
        <v>Germie Bernard</v>
      </c>
      <c r="E264" t="s">
        <v>20</v>
      </c>
      <c r="F264">
        <v>83</v>
      </c>
      <c r="G264">
        <v>214</v>
      </c>
      <c r="H264">
        <v>8.8000000000000007</v>
      </c>
      <c r="I264">
        <v>17.600000000000001</v>
      </c>
      <c r="J264">
        <v>2.7</v>
      </c>
      <c r="K264">
        <v>0</v>
      </c>
      <c r="L264">
        <v>3.5</v>
      </c>
      <c r="M264">
        <v>4</v>
      </c>
      <c r="N264">
        <v>7</v>
      </c>
      <c r="O264">
        <v>0</v>
      </c>
      <c r="P264">
        <v>5.9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1.6</v>
      </c>
      <c r="W264">
        <v>0</v>
      </c>
      <c r="X264">
        <v>0</v>
      </c>
      <c r="Y264">
        <f t="shared" si="4"/>
        <v>51.1</v>
      </c>
      <c r="Z264">
        <v>3.3</v>
      </c>
      <c r="AA264">
        <v>19</v>
      </c>
      <c r="AB264">
        <v>1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5.8823529411764705E-2</v>
      </c>
      <c r="AI264">
        <v>6.6666666666666666E-2</v>
      </c>
      <c r="AJ264">
        <v>0</v>
      </c>
      <c r="AK264">
        <v>0</v>
      </c>
      <c r="AL264">
        <v>0</v>
      </c>
    </row>
    <row r="265" spans="1:38" x14ac:dyDescent="0.25">
      <c r="A265">
        <v>2025</v>
      </c>
      <c r="B265" t="s">
        <v>263</v>
      </c>
      <c r="C265" t="s">
        <v>31</v>
      </c>
      <c r="D265" t="str" cm="1">
        <f t="array" ref="D265">_xlfn.XLOOKUP(1,('26 WR'!A:A=E265)*('26 WR'!B:B=F265),'26 WR'!C:C)</f>
        <v>Cooper Kupp</v>
      </c>
      <c r="E265" t="s">
        <v>20</v>
      </c>
      <c r="F265">
        <v>84</v>
      </c>
      <c r="G265">
        <v>219</v>
      </c>
      <c r="H265">
        <v>3.8</v>
      </c>
      <c r="I265">
        <v>6.1</v>
      </c>
      <c r="J265">
        <v>6.7</v>
      </c>
      <c r="K265">
        <v>9.1999999999999993</v>
      </c>
      <c r="L265">
        <v>7.2</v>
      </c>
      <c r="M265">
        <v>0</v>
      </c>
      <c r="N265">
        <v>5.7</v>
      </c>
      <c r="O265">
        <v>0</v>
      </c>
      <c r="P265">
        <v>2.6</v>
      </c>
      <c r="Q265">
        <v>23.4</v>
      </c>
      <c r="R265">
        <v>2.6</v>
      </c>
      <c r="S265">
        <v>0</v>
      </c>
      <c r="T265">
        <v>0</v>
      </c>
      <c r="U265">
        <v>6</v>
      </c>
      <c r="V265">
        <v>19.5</v>
      </c>
      <c r="W265">
        <v>0</v>
      </c>
      <c r="X265">
        <v>0</v>
      </c>
      <c r="Y265">
        <f t="shared" si="4"/>
        <v>92.8</v>
      </c>
      <c r="Z265">
        <v>5.9</v>
      </c>
      <c r="AA265">
        <v>20</v>
      </c>
      <c r="AB265">
        <v>1</v>
      </c>
      <c r="AC265">
        <v>2</v>
      </c>
      <c r="AD265">
        <v>2</v>
      </c>
      <c r="AE265">
        <v>1</v>
      </c>
      <c r="AF265">
        <v>0</v>
      </c>
      <c r="AG265">
        <v>0</v>
      </c>
      <c r="AH265">
        <v>0.11764705882352941</v>
      </c>
      <c r="AI265">
        <v>0.11764705882352941</v>
      </c>
      <c r="AJ265">
        <v>5.8823529411764705E-2</v>
      </c>
      <c r="AK265">
        <v>0</v>
      </c>
      <c r="AL265">
        <v>0</v>
      </c>
    </row>
    <row r="266" spans="1:38" x14ac:dyDescent="0.25">
      <c r="A266">
        <v>2025</v>
      </c>
      <c r="B266" t="s">
        <v>265</v>
      </c>
      <c r="C266" t="s">
        <v>85</v>
      </c>
      <c r="D266" t="str" cm="1">
        <f t="array" ref="D266">_xlfn.XLOOKUP(1,('26 WR'!A:A=E266)*('26 WR'!B:B=F266),'26 WR'!C:C)</f>
        <v>Tank Dell</v>
      </c>
      <c r="E266" t="s">
        <v>20</v>
      </c>
      <c r="F266">
        <v>85</v>
      </c>
      <c r="G266">
        <v>221</v>
      </c>
      <c r="H266">
        <v>10.5</v>
      </c>
      <c r="I266">
        <v>1.5</v>
      </c>
      <c r="J266">
        <v>9.5</v>
      </c>
      <c r="K266">
        <v>13.6</v>
      </c>
      <c r="L266">
        <v>3.7</v>
      </c>
      <c r="M266">
        <v>8.6999999999999993</v>
      </c>
      <c r="N266">
        <v>6.5</v>
      </c>
      <c r="O266">
        <v>4.9000000000000004</v>
      </c>
      <c r="P266">
        <v>1.2</v>
      </c>
      <c r="Q266">
        <v>0</v>
      </c>
      <c r="R266">
        <v>0</v>
      </c>
      <c r="S266">
        <v>1.8</v>
      </c>
      <c r="T266">
        <v>0</v>
      </c>
      <c r="U266">
        <v>1.5</v>
      </c>
      <c r="V266">
        <v>0</v>
      </c>
      <c r="W266">
        <v>2.2000000000000002</v>
      </c>
      <c r="X266">
        <v>4.5999999999999996</v>
      </c>
      <c r="Y266">
        <f t="shared" si="4"/>
        <v>70.199999999999989</v>
      </c>
      <c r="Z266">
        <v>4.3</v>
      </c>
      <c r="AA266">
        <v>20</v>
      </c>
      <c r="AB266">
        <v>1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0.11764705882352941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2025</v>
      </c>
      <c r="B267" t="s">
        <v>270</v>
      </c>
      <c r="C267" t="s">
        <v>37</v>
      </c>
      <c r="D267" t="str" cm="1">
        <f t="array" ref="D267">_xlfn.XLOOKUP(1,('26 WR'!A:A=E267)*('26 WR'!B:B=F267),'26 WR'!C:C)</f>
        <v>Ted Hurst III</v>
      </c>
      <c r="E267" t="s">
        <v>20</v>
      </c>
      <c r="F267">
        <v>86</v>
      </c>
      <c r="G267">
        <v>227</v>
      </c>
      <c r="H267">
        <v>3.6</v>
      </c>
      <c r="I267">
        <v>3.3</v>
      </c>
      <c r="J267">
        <v>1.4</v>
      </c>
      <c r="K267">
        <v>9.3000000000000007</v>
      </c>
      <c r="L267">
        <v>0</v>
      </c>
      <c r="M267">
        <v>0</v>
      </c>
      <c r="N267">
        <v>4.7</v>
      </c>
      <c r="O267">
        <v>0</v>
      </c>
      <c r="P267">
        <v>0</v>
      </c>
      <c r="Q267">
        <v>9.9</v>
      </c>
      <c r="R267">
        <v>0</v>
      </c>
      <c r="S267">
        <v>5.7</v>
      </c>
      <c r="T267">
        <v>0</v>
      </c>
      <c r="U267">
        <v>0</v>
      </c>
      <c r="V267">
        <v>3</v>
      </c>
      <c r="W267">
        <v>16.2</v>
      </c>
      <c r="X267">
        <v>1.5</v>
      </c>
      <c r="Y267">
        <f t="shared" si="4"/>
        <v>58.600000000000009</v>
      </c>
      <c r="Z267">
        <v>4.5</v>
      </c>
      <c r="AA267">
        <v>20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5.8823529411764705E-2</v>
      </c>
      <c r="AI267">
        <v>6.6666666666666666E-2</v>
      </c>
      <c r="AJ267">
        <v>0</v>
      </c>
      <c r="AK267">
        <v>0</v>
      </c>
      <c r="AL267">
        <v>0</v>
      </c>
    </row>
    <row r="268" spans="1:38" x14ac:dyDescent="0.25">
      <c r="A268">
        <v>2025</v>
      </c>
      <c r="B268" t="s">
        <v>271</v>
      </c>
      <c r="C268" t="s">
        <v>57</v>
      </c>
      <c r="D268" t="str" cm="1">
        <f t="array" ref="D268">_xlfn.XLOOKUP(1,('26 WR'!A:A=E268)*('26 WR'!B:B=F268),'26 WR'!C:C)</f>
        <v>Elic Ayomanor</v>
      </c>
      <c r="E268" t="s">
        <v>20</v>
      </c>
      <c r="F268">
        <v>87</v>
      </c>
      <c r="G268">
        <v>228</v>
      </c>
      <c r="H268">
        <v>0</v>
      </c>
      <c r="I268">
        <v>0</v>
      </c>
      <c r="J268">
        <v>0</v>
      </c>
      <c r="K268">
        <v>2.2999999999999998</v>
      </c>
      <c r="L268">
        <v>10.1</v>
      </c>
      <c r="M268">
        <v>11.5</v>
      </c>
      <c r="N268">
        <v>15.8</v>
      </c>
      <c r="O268">
        <v>9.3000000000000007</v>
      </c>
      <c r="P268">
        <v>0</v>
      </c>
      <c r="Q268">
        <v>20.2</v>
      </c>
      <c r="R268">
        <v>1.6</v>
      </c>
      <c r="S268">
        <v>12.3</v>
      </c>
      <c r="T268">
        <v>1.5</v>
      </c>
      <c r="U268">
        <v>0</v>
      </c>
      <c r="V268">
        <v>0</v>
      </c>
      <c r="W268">
        <v>0.9</v>
      </c>
      <c r="X268">
        <v>3.9</v>
      </c>
      <c r="Y268">
        <f t="shared" si="4"/>
        <v>89.4</v>
      </c>
      <c r="Z268">
        <v>5.8</v>
      </c>
      <c r="AA268">
        <v>20</v>
      </c>
      <c r="AB268">
        <v>1</v>
      </c>
      <c r="AC268">
        <v>5</v>
      </c>
      <c r="AD268">
        <v>2</v>
      </c>
      <c r="AE268">
        <v>1</v>
      </c>
      <c r="AF268">
        <v>0</v>
      </c>
      <c r="AG268">
        <v>0</v>
      </c>
      <c r="AH268">
        <v>0.29411764705882354</v>
      </c>
      <c r="AI268">
        <v>0.125</v>
      </c>
      <c r="AJ268">
        <v>6.25E-2</v>
      </c>
      <c r="AK268">
        <v>0</v>
      </c>
      <c r="AL268">
        <v>0</v>
      </c>
    </row>
    <row r="269" spans="1:38" x14ac:dyDescent="0.25">
      <c r="A269">
        <v>2025</v>
      </c>
      <c r="B269" t="s">
        <v>272</v>
      </c>
      <c r="C269" t="s">
        <v>80</v>
      </c>
      <c r="D269" t="str" cm="1">
        <f t="array" ref="D269">_xlfn.XLOOKUP(1,('26 WR'!A:A=E269)*('26 WR'!B:B=F269),'26 WR'!C:C)</f>
        <v>Rashod Bateman</v>
      </c>
      <c r="E269" t="s">
        <v>20</v>
      </c>
      <c r="F269">
        <v>88</v>
      </c>
      <c r="G269">
        <v>229</v>
      </c>
      <c r="H269">
        <v>0</v>
      </c>
      <c r="I269">
        <v>4.9000000000000004</v>
      </c>
      <c r="J269">
        <v>14.6</v>
      </c>
      <c r="K269">
        <v>10.1</v>
      </c>
      <c r="L269">
        <v>6</v>
      </c>
      <c r="M269">
        <v>10.3</v>
      </c>
      <c r="N269">
        <v>0</v>
      </c>
      <c r="O269">
        <v>5.4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f t="shared" si="4"/>
        <v>51.300000000000004</v>
      </c>
      <c r="Z269">
        <v>5.7</v>
      </c>
      <c r="AA269">
        <v>20</v>
      </c>
      <c r="AB269">
        <v>1</v>
      </c>
      <c r="AC269">
        <v>3</v>
      </c>
      <c r="AD269">
        <v>0</v>
      </c>
      <c r="AE269">
        <v>0</v>
      </c>
      <c r="AF269">
        <v>0</v>
      </c>
      <c r="AG269">
        <v>0</v>
      </c>
      <c r="AH269">
        <v>0.17647058823529413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2025</v>
      </c>
      <c r="B270" t="s">
        <v>273</v>
      </c>
      <c r="C270" t="s">
        <v>35</v>
      </c>
      <c r="D270" t="str" cm="1">
        <f t="array" ref="D270">_xlfn.XLOOKUP(1,('26 WR'!A:A=E270)*('26 WR'!B:B=F270),'26 WR'!C:C)</f>
        <v>Zachariah Branch</v>
      </c>
      <c r="E270" t="s">
        <v>20</v>
      </c>
      <c r="F270">
        <v>89</v>
      </c>
      <c r="G270">
        <v>230</v>
      </c>
      <c r="H270">
        <v>1</v>
      </c>
      <c r="I270">
        <v>3.6</v>
      </c>
      <c r="J270">
        <v>7.4</v>
      </c>
      <c r="K270">
        <v>10.1</v>
      </c>
      <c r="L270">
        <v>0</v>
      </c>
      <c r="M270">
        <v>1.8</v>
      </c>
      <c r="N270">
        <v>2.6</v>
      </c>
      <c r="O270">
        <v>12.7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</v>
      </c>
      <c r="Y270">
        <f t="shared" si="4"/>
        <v>46.300000000000004</v>
      </c>
      <c r="Z270">
        <v>3.6</v>
      </c>
      <c r="AA270">
        <v>20</v>
      </c>
      <c r="AB270">
        <v>1</v>
      </c>
      <c r="AC270">
        <v>2</v>
      </c>
      <c r="AD270">
        <v>0</v>
      </c>
      <c r="AE270">
        <v>0</v>
      </c>
      <c r="AF270">
        <v>0</v>
      </c>
      <c r="AG270">
        <v>0</v>
      </c>
      <c r="AH270">
        <v>0.11764705882352941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2025</v>
      </c>
      <c r="B271" t="s">
        <v>275</v>
      </c>
      <c r="C271" t="s">
        <v>110</v>
      </c>
      <c r="D271" t="str" cm="1">
        <f t="array" ref="D271">_xlfn.XLOOKUP(1,('26 WR'!A:A=E271)*('26 WR'!B:B=F271),'26 WR'!C:C)</f>
        <v>Tyreek Hill</v>
      </c>
      <c r="E271" t="s">
        <v>20</v>
      </c>
      <c r="F271">
        <v>90</v>
      </c>
      <c r="G271">
        <v>232</v>
      </c>
      <c r="H271">
        <v>8.1999999999999993</v>
      </c>
      <c r="I271">
        <v>4.0999999999999996</v>
      </c>
      <c r="J271">
        <v>6.6</v>
      </c>
      <c r="K271">
        <v>9.1</v>
      </c>
      <c r="L271">
        <v>0</v>
      </c>
      <c r="M271">
        <v>4.8</v>
      </c>
      <c r="N271">
        <v>2.9</v>
      </c>
      <c r="O271">
        <v>10.3</v>
      </c>
      <c r="P271">
        <v>17.8</v>
      </c>
      <c r="Q271">
        <v>1.5</v>
      </c>
      <c r="R271">
        <v>0</v>
      </c>
      <c r="S271">
        <v>1.6</v>
      </c>
      <c r="T271">
        <v>3.9</v>
      </c>
      <c r="U271">
        <v>8.6999999999999993</v>
      </c>
      <c r="V271">
        <v>0</v>
      </c>
      <c r="W271">
        <v>5.3</v>
      </c>
      <c r="X271">
        <v>0</v>
      </c>
      <c r="Y271">
        <f t="shared" si="4"/>
        <v>84.8</v>
      </c>
      <c r="Z271">
        <v>5.3</v>
      </c>
      <c r="AA271">
        <v>20</v>
      </c>
      <c r="AB271">
        <v>1</v>
      </c>
      <c r="AC271">
        <v>2</v>
      </c>
      <c r="AD271">
        <v>1</v>
      </c>
      <c r="AE271">
        <v>0</v>
      </c>
      <c r="AF271">
        <v>0</v>
      </c>
      <c r="AG271">
        <v>0</v>
      </c>
      <c r="AH271">
        <v>0.11764705882352941</v>
      </c>
      <c r="AI271">
        <v>6.25E-2</v>
      </c>
      <c r="AJ271">
        <v>0</v>
      </c>
      <c r="AK271">
        <v>0</v>
      </c>
      <c r="AL271">
        <v>0</v>
      </c>
    </row>
    <row r="272" spans="1:38" x14ac:dyDescent="0.25">
      <c r="A272">
        <v>2025</v>
      </c>
      <c r="B272" t="s">
        <v>276</v>
      </c>
      <c r="C272" t="s">
        <v>33</v>
      </c>
      <c r="D272" t="str" cm="1">
        <f t="array" ref="D272">_xlfn.XLOOKUP(1,('26 WR'!A:A=E272)*('26 WR'!B:B=F272),'26 WR'!C:C)</f>
        <v>Jack Bech</v>
      </c>
      <c r="E272" t="s">
        <v>20</v>
      </c>
      <c r="F272">
        <v>91</v>
      </c>
      <c r="G272">
        <v>233</v>
      </c>
      <c r="H272">
        <v>8.9</v>
      </c>
      <c r="I272">
        <v>1.4</v>
      </c>
      <c r="J272">
        <v>1.7</v>
      </c>
      <c r="K272">
        <v>0</v>
      </c>
      <c r="L272">
        <v>3.4</v>
      </c>
      <c r="M272">
        <v>2.7</v>
      </c>
      <c r="N272">
        <v>0</v>
      </c>
      <c r="O272">
        <v>11</v>
      </c>
      <c r="P272">
        <v>0</v>
      </c>
      <c r="Q272">
        <v>0</v>
      </c>
      <c r="R272">
        <v>6.3</v>
      </c>
      <c r="S272">
        <v>0</v>
      </c>
      <c r="T272">
        <v>2.2000000000000002</v>
      </c>
      <c r="U272">
        <v>1.3</v>
      </c>
      <c r="V272">
        <v>0</v>
      </c>
      <c r="W272">
        <v>4.3</v>
      </c>
      <c r="X272">
        <v>0</v>
      </c>
      <c r="Y272">
        <f t="shared" si="4"/>
        <v>43.199999999999996</v>
      </c>
      <c r="Z272">
        <v>3</v>
      </c>
      <c r="AA272">
        <v>20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5.8823529411764705E-2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2025</v>
      </c>
      <c r="B273" t="s">
        <v>280</v>
      </c>
      <c r="C273" t="s">
        <v>68</v>
      </c>
      <c r="D273" t="str" cm="1">
        <f t="array" ref="D273">_xlfn.XLOOKUP(1,('26 WR'!A:A=E273)*('26 WR'!B:B=F273),'26 WR'!C:C)</f>
        <v>Christian Kirk</v>
      </c>
      <c r="E273" t="s">
        <v>20</v>
      </c>
      <c r="F273">
        <v>92</v>
      </c>
      <c r="G273">
        <v>237</v>
      </c>
      <c r="H273">
        <v>0</v>
      </c>
      <c r="I273">
        <v>0</v>
      </c>
      <c r="J273">
        <v>4.4000000000000004</v>
      </c>
      <c r="K273">
        <v>0</v>
      </c>
      <c r="L273">
        <v>0</v>
      </c>
      <c r="M273">
        <v>5.7</v>
      </c>
      <c r="N273">
        <v>0</v>
      </c>
      <c r="O273">
        <v>0</v>
      </c>
      <c r="P273">
        <v>1.7</v>
      </c>
      <c r="Q273">
        <v>3.4</v>
      </c>
      <c r="R273">
        <v>19</v>
      </c>
      <c r="S273">
        <v>0</v>
      </c>
      <c r="T273">
        <v>0</v>
      </c>
      <c r="U273">
        <v>2.6</v>
      </c>
      <c r="V273">
        <v>0</v>
      </c>
      <c r="W273">
        <v>3.1</v>
      </c>
      <c r="X273">
        <v>5.6</v>
      </c>
      <c r="Y273">
        <f t="shared" si="4"/>
        <v>45.500000000000007</v>
      </c>
      <c r="Z273">
        <v>2.7</v>
      </c>
      <c r="AA273">
        <v>20</v>
      </c>
      <c r="AB273">
        <v>1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5.8823529411764705E-2</v>
      </c>
      <c r="AI273">
        <v>5.8823529411764705E-2</v>
      </c>
      <c r="AJ273">
        <v>0</v>
      </c>
      <c r="AK273">
        <v>0</v>
      </c>
      <c r="AL273">
        <v>0</v>
      </c>
    </row>
    <row r="274" spans="1:38" x14ac:dyDescent="0.25">
      <c r="A274">
        <v>2025</v>
      </c>
      <c r="B274" t="s">
        <v>281</v>
      </c>
      <c r="C274" t="s">
        <v>78</v>
      </c>
      <c r="D274" t="str" cm="1">
        <f t="array" ref="D274">_xlfn.XLOOKUP(1,('26 WR'!A:A=E274)*('26 WR'!B:B=F274),'26 WR'!C:C)</f>
        <v>Keon Coleman</v>
      </c>
      <c r="E274" t="s">
        <v>20</v>
      </c>
      <c r="F274">
        <v>93</v>
      </c>
      <c r="G274">
        <v>238</v>
      </c>
      <c r="H274">
        <v>1.3</v>
      </c>
      <c r="I274">
        <v>7.8</v>
      </c>
      <c r="J274">
        <v>6.7</v>
      </c>
      <c r="K274">
        <v>7.4</v>
      </c>
      <c r="L274">
        <v>0</v>
      </c>
      <c r="M274">
        <v>4.8</v>
      </c>
      <c r="N274">
        <v>7.3</v>
      </c>
      <c r="O274">
        <v>15.9</v>
      </c>
      <c r="P274">
        <v>2.9</v>
      </c>
      <c r="Q274">
        <v>16.600000000000001</v>
      </c>
      <c r="R274">
        <v>10.4</v>
      </c>
      <c r="S274">
        <v>5</v>
      </c>
      <c r="T274">
        <v>5.3</v>
      </c>
      <c r="U274">
        <v>0</v>
      </c>
      <c r="V274">
        <v>8.1</v>
      </c>
      <c r="W274">
        <v>13.9</v>
      </c>
      <c r="X274">
        <v>0</v>
      </c>
      <c r="Y274">
        <f t="shared" si="4"/>
        <v>113.4</v>
      </c>
      <c r="Z274">
        <v>7.6</v>
      </c>
      <c r="AA274">
        <v>20</v>
      </c>
      <c r="AB274">
        <v>1</v>
      </c>
      <c r="AC274">
        <v>4</v>
      </c>
      <c r="AD274">
        <v>2</v>
      </c>
      <c r="AE274">
        <v>0</v>
      </c>
      <c r="AF274">
        <v>0</v>
      </c>
      <c r="AG274">
        <v>0</v>
      </c>
      <c r="AH274">
        <v>0.23529411764705882</v>
      </c>
      <c r="AI274">
        <v>0.13333333333333333</v>
      </c>
      <c r="AJ274">
        <v>0</v>
      </c>
      <c r="AK274">
        <v>0</v>
      </c>
      <c r="AL274">
        <v>0</v>
      </c>
    </row>
    <row r="275" spans="1:38" x14ac:dyDescent="0.25">
      <c r="A275">
        <v>2025</v>
      </c>
      <c r="B275" t="s">
        <v>282</v>
      </c>
      <c r="C275" t="s">
        <v>39</v>
      </c>
      <c r="D275" t="str" cm="1">
        <f t="array" ref="D275">_xlfn.XLOOKUP(1,('26 WR'!A:A=E275)*('26 WR'!B:B=F275),'26 WR'!C:C)</f>
        <v>Chris Bell</v>
      </c>
      <c r="E275" t="s">
        <v>20</v>
      </c>
      <c r="F275">
        <v>94</v>
      </c>
      <c r="G275">
        <v>239</v>
      </c>
      <c r="H275">
        <v>5.5</v>
      </c>
      <c r="I275">
        <v>4.9000000000000004</v>
      </c>
      <c r="J275">
        <v>4.5999999999999996</v>
      </c>
      <c r="K275">
        <v>3.7</v>
      </c>
      <c r="L275">
        <v>16.8</v>
      </c>
      <c r="M275">
        <v>0</v>
      </c>
      <c r="N275">
        <v>2.2999999999999998</v>
      </c>
      <c r="O275">
        <v>17.899999999999999</v>
      </c>
      <c r="P275">
        <v>6</v>
      </c>
      <c r="Q275">
        <v>0</v>
      </c>
      <c r="R275">
        <v>7.2</v>
      </c>
      <c r="S275">
        <v>0.9</v>
      </c>
      <c r="T275">
        <v>5.9</v>
      </c>
      <c r="U275">
        <v>0</v>
      </c>
      <c r="V275">
        <v>2.6</v>
      </c>
      <c r="W275">
        <v>1.4</v>
      </c>
      <c r="X275">
        <v>4.9000000000000004</v>
      </c>
      <c r="Y275">
        <f t="shared" si="4"/>
        <v>84.600000000000009</v>
      </c>
      <c r="Z275">
        <v>5.8</v>
      </c>
      <c r="AA275">
        <v>20</v>
      </c>
      <c r="AB275">
        <v>1</v>
      </c>
      <c r="AC275">
        <v>3</v>
      </c>
      <c r="AD275">
        <v>2</v>
      </c>
      <c r="AE275">
        <v>0</v>
      </c>
      <c r="AF275">
        <v>0</v>
      </c>
      <c r="AG275">
        <v>0</v>
      </c>
      <c r="AH275">
        <v>0.17647058823529413</v>
      </c>
      <c r="AI275">
        <v>0.11764705882352941</v>
      </c>
      <c r="AJ275">
        <v>0</v>
      </c>
      <c r="AK275">
        <v>0</v>
      </c>
      <c r="AL275">
        <v>0</v>
      </c>
    </row>
    <row r="276" spans="1:38" x14ac:dyDescent="0.25">
      <c r="A276">
        <v>2025</v>
      </c>
      <c r="B276" t="s">
        <v>285</v>
      </c>
      <c r="C276" t="s">
        <v>51</v>
      </c>
      <c r="D276" t="str" cm="1">
        <f t="array" ref="D276">_xlfn.XLOOKUP(1,('26 WR'!A:A=E276)*('26 WR'!B:B=F276),'26 WR'!C:C)</f>
        <v>Elijah Sarratt</v>
      </c>
      <c r="E276" t="s">
        <v>20</v>
      </c>
      <c r="F276">
        <v>95</v>
      </c>
      <c r="G276">
        <v>242</v>
      </c>
      <c r="H276">
        <v>0</v>
      </c>
      <c r="I276">
        <v>0</v>
      </c>
      <c r="J276">
        <v>2.6</v>
      </c>
      <c r="K276">
        <v>0.9</v>
      </c>
      <c r="L276">
        <v>0</v>
      </c>
      <c r="M276">
        <v>9.6</v>
      </c>
      <c r="N276">
        <v>3.2</v>
      </c>
      <c r="O276">
        <v>0</v>
      </c>
      <c r="P276">
        <v>0</v>
      </c>
      <c r="Q276">
        <v>0</v>
      </c>
      <c r="R276">
        <v>11</v>
      </c>
      <c r="S276">
        <v>0</v>
      </c>
      <c r="T276">
        <v>2.1</v>
      </c>
      <c r="U276">
        <v>18.8</v>
      </c>
      <c r="V276">
        <v>0</v>
      </c>
      <c r="W276">
        <v>2.1</v>
      </c>
      <c r="X276">
        <v>0</v>
      </c>
      <c r="Y276">
        <f t="shared" si="4"/>
        <v>50.300000000000004</v>
      </c>
      <c r="Z276">
        <v>3.2</v>
      </c>
      <c r="AA276">
        <v>20</v>
      </c>
      <c r="AB276">
        <v>1</v>
      </c>
      <c r="AC276">
        <v>2</v>
      </c>
      <c r="AD276">
        <v>1</v>
      </c>
      <c r="AE276">
        <v>0</v>
      </c>
      <c r="AF276">
        <v>0</v>
      </c>
      <c r="AG276">
        <v>0</v>
      </c>
      <c r="AH276">
        <v>0.11764705882352941</v>
      </c>
      <c r="AI276">
        <v>6.25E-2</v>
      </c>
      <c r="AJ276">
        <v>0</v>
      </c>
      <c r="AK276">
        <v>0</v>
      </c>
      <c r="AL276">
        <v>0</v>
      </c>
    </row>
    <row r="277" spans="1:38" x14ac:dyDescent="0.25">
      <c r="A277">
        <v>2025</v>
      </c>
      <c r="B277" t="s">
        <v>288</v>
      </c>
      <c r="C277" t="s">
        <v>68</v>
      </c>
      <c r="D277" t="str" cm="1">
        <f t="array" ref="D277">_xlfn.XLOOKUP(1,('26 WR'!A:A=E277)*('26 WR'!B:B=F277),'26 WR'!C:C)</f>
        <v>Tory Horton</v>
      </c>
      <c r="E277" t="s">
        <v>20</v>
      </c>
      <c r="F277">
        <v>96</v>
      </c>
      <c r="G277">
        <v>244</v>
      </c>
      <c r="H277">
        <v>5.6</v>
      </c>
      <c r="I277">
        <v>4.5999999999999996</v>
      </c>
      <c r="J277">
        <v>5.4</v>
      </c>
      <c r="K277">
        <v>5.2</v>
      </c>
      <c r="L277">
        <v>1.5</v>
      </c>
      <c r="M277">
        <v>3.1</v>
      </c>
      <c r="N277">
        <v>1.3</v>
      </c>
      <c r="O277">
        <v>5.2</v>
      </c>
      <c r="P277">
        <v>3.6</v>
      </c>
      <c r="Q277">
        <v>0</v>
      </c>
      <c r="R277">
        <v>0</v>
      </c>
      <c r="S277">
        <v>0</v>
      </c>
      <c r="T277">
        <v>2.2999999999999998</v>
      </c>
      <c r="U277">
        <v>0</v>
      </c>
      <c r="V277">
        <v>0</v>
      </c>
      <c r="W277">
        <v>0</v>
      </c>
      <c r="X277">
        <v>14.1</v>
      </c>
      <c r="Y277">
        <f t="shared" si="4"/>
        <v>51.9</v>
      </c>
      <c r="Z277">
        <v>3.5</v>
      </c>
      <c r="AA277">
        <v>20</v>
      </c>
      <c r="AB277">
        <v>1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5.8823529411764705E-2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2025</v>
      </c>
      <c r="B278" t="s">
        <v>292</v>
      </c>
      <c r="C278" t="s">
        <v>114</v>
      </c>
      <c r="D278" t="str" cm="1">
        <f t="array" ref="D278">_xlfn.XLOOKUP(1,('26 WR'!A:A=E278)*('26 WR'!B:B=F278),'26 WR'!C:C)</f>
        <v>Malachi Fields</v>
      </c>
      <c r="E278" t="s">
        <v>20</v>
      </c>
      <c r="F278">
        <v>97</v>
      </c>
      <c r="G278">
        <v>249</v>
      </c>
      <c r="H278">
        <v>0</v>
      </c>
      <c r="I278">
        <v>3</v>
      </c>
      <c r="J278">
        <v>1.8</v>
      </c>
      <c r="K278">
        <v>1.6</v>
      </c>
      <c r="L278">
        <v>0</v>
      </c>
      <c r="M278">
        <v>11.5</v>
      </c>
      <c r="N278">
        <v>8.1</v>
      </c>
      <c r="O278">
        <v>1.6</v>
      </c>
      <c r="P278">
        <v>3.1</v>
      </c>
      <c r="Q278">
        <v>0</v>
      </c>
      <c r="R278">
        <v>11.2</v>
      </c>
      <c r="S278">
        <v>2.1</v>
      </c>
      <c r="T278">
        <v>5</v>
      </c>
      <c r="U278">
        <v>3.7</v>
      </c>
      <c r="V278">
        <v>5.3</v>
      </c>
      <c r="W278">
        <v>4.4000000000000004</v>
      </c>
      <c r="X278">
        <v>7.6</v>
      </c>
      <c r="Y278">
        <f t="shared" si="4"/>
        <v>70</v>
      </c>
      <c r="Z278">
        <v>4.4000000000000004</v>
      </c>
      <c r="AA278">
        <v>20</v>
      </c>
      <c r="AB278">
        <v>1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0.11764705882352941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>
        <v>2025</v>
      </c>
      <c r="B279" t="s">
        <v>294</v>
      </c>
      <c r="C279" t="s">
        <v>110</v>
      </c>
      <c r="D279" t="str" cm="1">
        <f t="array" ref="D279">_xlfn.XLOOKUP(1,('26 WR'!A:A=E279)*('26 WR'!B:B=F279),'26 WR'!C:C)</f>
        <v>Marvin Mims Jr.</v>
      </c>
      <c r="E279" t="s">
        <v>20</v>
      </c>
      <c r="F279">
        <v>98</v>
      </c>
      <c r="G279">
        <v>251</v>
      </c>
      <c r="H279">
        <v>0.7</v>
      </c>
      <c r="I279">
        <v>1.5</v>
      </c>
      <c r="J279">
        <v>19.8</v>
      </c>
      <c r="K279">
        <v>1.6</v>
      </c>
      <c r="L279">
        <v>0</v>
      </c>
      <c r="M279">
        <v>9.1</v>
      </c>
      <c r="N279">
        <v>3.1</v>
      </c>
      <c r="O279">
        <v>0.9</v>
      </c>
      <c r="P279">
        <v>0</v>
      </c>
      <c r="Q279">
        <v>8.1</v>
      </c>
      <c r="R279">
        <v>5.7</v>
      </c>
      <c r="S279">
        <v>9.1</v>
      </c>
      <c r="T279">
        <v>7.6</v>
      </c>
      <c r="U279">
        <v>11</v>
      </c>
      <c r="V279">
        <v>14.4</v>
      </c>
      <c r="W279">
        <v>0</v>
      </c>
      <c r="X279">
        <v>27.8</v>
      </c>
      <c r="Y279">
        <f t="shared" si="4"/>
        <v>120.4</v>
      </c>
      <c r="Z279">
        <v>8.5</v>
      </c>
      <c r="AA279">
        <v>12</v>
      </c>
      <c r="AB279">
        <v>1</v>
      </c>
      <c r="AC279">
        <v>4</v>
      </c>
      <c r="AD279">
        <v>2</v>
      </c>
      <c r="AE279">
        <v>1</v>
      </c>
      <c r="AF279">
        <v>1</v>
      </c>
      <c r="AG279">
        <v>0</v>
      </c>
      <c r="AH279">
        <v>0.23529411764705882</v>
      </c>
      <c r="AI279">
        <v>0.13333333333333333</v>
      </c>
      <c r="AJ279">
        <v>6.6666666666666666E-2</v>
      </c>
      <c r="AK279">
        <v>6.6666666666666666E-2</v>
      </c>
      <c r="AL279">
        <v>0</v>
      </c>
    </row>
    <row r="280" spans="1:38" x14ac:dyDescent="0.25">
      <c r="A280">
        <v>2025</v>
      </c>
      <c r="B280" t="s">
        <v>295</v>
      </c>
      <c r="C280" t="s">
        <v>90</v>
      </c>
      <c r="D280" t="str" cm="1">
        <f t="array" ref="D280">_xlfn.XLOOKUP(1,('26 WR'!A:A=E280)*('26 WR'!B:B=F280),'26 WR'!C:C)</f>
        <v>Darius Slayton</v>
      </c>
      <c r="E280" t="s">
        <v>20</v>
      </c>
      <c r="F280">
        <v>99</v>
      </c>
      <c r="G280">
        <v>252</v>
      </c>
      <c r="H280">
        <v>0</v>
      </c>
      <c r="I280">
        <v>1</v>
      </c>
      <c r="J280">
        <v>1.8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0.6</v>
      </c>
      <c r="R280">
        <v>13.5</v>
      </c>
      <c r="S280">
        <v>18.5</v>
      </c>
      <c r="T280">
        <v>5.7</v>
      </c>
      <c r="U280">
        <v>7.4</v>
      </c>
      <c r="V280">
        <v>6.9</v>
      </c>
      <c r="W280">
        <v>1.4</v>
      </c>
      <c r="X280">
        <v>7.1</v>
      </c>
      <c r="Y280">
        <f t="shared" si="4"/>
        <v>66.899999999999991</v>
      </c>
      <c r="Z280">
        <v>4.5</v>
      </c>
      <c r="AA280">
        <v>20</v>
      </c>
      <c r="AB280">
        <v>1</v>
      </c>
      <c r="AC280">
        <v>2</v>
      </c>
      <c r="AD280">
        <v>1</v>
      </c>
      <c r="AE280">
        <v>0</v>
      </c>
      <c r="AF280">
        <v>0</v>
      </c>
      <c r="AG280">
        <v>0</v>
      </c>
      <c r="AH280">
        <v>0.11764705882352941</v>
      </c>
      <c r="AI280">
        <v>6.25E-2</v>
      </c>
      <c r="AJ280">
        <v>0</v>
      </c>
      <c r="AK280">
        <v>0</v>
      </c>
      <c r="AL280">
        <v>0</v>
      </c>
    </row>
    <row r="281" spans="1:38" x14ac:dyDescent="0.25">
      <c r="A281">
        <v>2025</v>
      </c>
      <c r="B281" t="s">
        <v>296</v>
      </c>
      <c r="C281" t="s">
        <v>35</v>
      </c>
      <c r="D281" t="str" cm="1">
        <f t="array" ref="D281">_xlfn.XLOOKUP(1,('26 WR'!A:A=E281)*('26 WR'!B:B=F281),'26 WR'!C:C)</f>
        <v>Chris Brazzell II</v>
      </c>
      <c r="E281" t="s">
        <v>20</v>
      </c>
      <c r="F281">
        <v>100</v>
      </c>
      <c r="G281">
        <v>253</v>
      </c>
      <c r="H281">
        <v>4.7</v>
      </c>
      <c r="I281">
        <v>15.3</v>
      </c>
      <c r="J281">
        <v>8.8000000000000007</v>
      </c>
      <c r="K281">
        <v>6.4</v>
      </c>
      <c r="L281">
        <v>0</v>
      </c>
      <c r="M281">
        <v>0</v>
      </c>
      <c r="N281">
        <v>2.7</v>
      </c>
      <c r="O281">
        <v>0.8</v>
      </c>
      <c r="P281">
        <v>3.3</v>
      </c>
      <c r="Q281">
        <v>0</v>
      </c>
      <c r="R281">
        <v>1</v>
      </c>
      <c r="S281">
        <v>4.2</v>
      </c>
      <c r="T281">
        <v>8.1</v>
      </c>
      <c r="U281">
        <v>5</v>
      </c>
      <c r="V281">
        <v>3.2</v>
      </c>
      <c r="W281">
        <v>4.7</v>
      </c>
      <c r="X281">
        <v>15.6</v>
      </c>
      <c r="Y281">
        <f t="shared" si="4"/>
        <v>83.8</v>
      </c>
      <c r="Z281">
        <v>5.6</v>
      </c>
      <c r="AA281">
        <v>20</v>
      </c>
      <c r="AB281">
        <v>1</v>
      </c>
      <c r="AC281">
        <v>2</v>
      </c>
      <c r="AD281">
        <v>2</v>
      </c>
      <c r="AE281">
        <v>0</v>
      </c>
      <c r="AF281">
        <v>0</v>
      </c>
      <c r="AG281">
        <v>0</v>
      </c>
      <c r="AH281">
        <v>0.11764705882352941</v>
      </c>
      <c r="AI281">
        <v>0.13333333333333333</v>
      </c>
      <c r="AJ281">
        <v>0</v>
      </c>
      <c r="AK281">
        <v>0</v>
      </c>
      <c r="AL281">
        <v>0</v>
      </c>
    </row>
    <row r="282" spans="1:38" x14ac:dyDescent="0.25">
      <c r="A282">
        <v>2025</v>
      </c>
      <c r="B282" t="s">
        <v>297</v>
      </c>
      <c r="C282" t="s">
        <v>132</v>
      </c>
      <c r="D282" t="str" cm="1">
        <f t="array" ref="D282">_xlfn.XLOOKUP(1,('26 WR'!A:A=E282)*('26 WR'!B:B=F282),'26 WR'!C:C)</f>
        <v>Tyquan Thornton</v>
      </c>
      <c r="E282" t="s">
        <v>20</v>
      </c>
      <c r="F282">
        <v>101</v>
      </c>
      <c r="G282">
        <v>254</v>
      </c>
      <c r="H282">
        <v>1.5</v>
      </c>
      <c r="I282">
        <v>2.5</v>
      </c>
      <c r="J282">
        <v>3.6</v>
      </c>
      <c r="K282">
        <v>8.8000000000000007</v>
      </c>
      <c r="L282">
        <v>4.9000000000000004</v>
      </c>
      <c r="M282">
        <v>2.9</v>
      </c>
      <c r="N282">
        <v>0</v>
      </c>
      <c r="O282">
        <v>0</v>
      </c>
      <c r="P282">
        <v>0</v>
      </c>
      <c r="Q282">
        <v>0</v>
      </c>
      <c r="R282">
        <v>0.8</v>
      </c>
      <c r="S282">
        <v>7.8</v>
      </c>
      <c r="T282">
        <v>3.7</v>
      </c>
      <c r="U282">
        <v>0</v>
      </c>
      <c r="V282">
        <v>10.9</v>
      </c>
      <c r="W282">
        <v>2</v>
      </c>
      <c r="X282">
        <v>2.6</v>
      </c>
      <c r="Y282">
        <f t="shared" si="4"/>
        <v>52</v>
      </c>
      <c r="Z282">
        <v>3.4</v>
      </c>
      <c r="AA282">
        <v>20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5.8823529411764705E-2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2025</v>
      </c>
      <c r="B283" t="s">
        <v>299</v>
      </c>
      <c r="C283" t="s">
        <v>80</v>
      </c>
      <c r="D283" t="str" cm="1">
        <f t="array" ref="D283">_xlfn.XLOOKUP(1,('26 WR'!A:A=E283)*('26 WR'!B:B=F283),'26 WR'!C:C)</f>
        <v>Xavier Legette</v>
      </c>
      <c r="E283" t="s">
        <v>20</v>
      </c>
      <c r="F283">
        <v>102</v>
      </c>
      <c r="G283">
        <v>256</v>
      </c>
      <c r="H283">
        <v>2.1</v>
      </c>
      <c r="I283">
        <v>1.2</v>
      </c>
      <c r="J283">
        <v>6.8</v>
      </c>
      <c r="K283">
        <v>3.8</v>
      </c>
      <c r="L283">
        <v>2.6</v>
      </c>
      <c r="M283">
        <v>5.4</v>
      </c>
      <c r="N283">
        <v>9</v>
      </c>
      <c r="O283">
        <v>1</v>
      </c>
      <c r="P283">
        <v>3.9</v>
      </c>
      <c r="Q283">
        <v>5.0999999999999996</v>
      </c>
      <c r="R283">
        <v>2.2999999999999998</v>
      </c>
      <c r="S283">
        <v>0</v>
      </c>
      <c r="T283">
        <v>0</v>
      </c>
      <c r="U283">
        <v>0</v>
      </c>
      <c r="V283">
        <v>6</v>
      </c>
      <c r="W283">
        <v>0</v>
      </c>
      <c r="X283">
        <v>0</v>
      </c>
      <c r="Y283">
        <f t="shared" si="4"/>
        <v>49.199999999999996</v>
      </c>
      <c r="Z283">
        <v>3.3</v>
      </c>
      <c r="AA283">
        <v>20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2025</v>
      </c>
      <c r="B284" t="s">
        <v>300</v>
      </c>
      <c r="C284" t="s">
        <v>78</v>
      </c>
      <c r="D284" t="str" cm="1">
        <f t="array" ref="D284">_xlfn.XLOOKUP(1,('26 WR'!A:A=E284)*('26 WR'!B:B=F284),'26 WR'!C:C)</f>
        <v>Devaughn Vele</v>
      </c>
      <c r="E284" t="s">
        <v>20</v>
      </c>
      <c r="F284">
        <v>103</v>
      </c>
      <c r="G284">
        <v>258</v>
      </c>
      <c r="H284">
        <v>16.3</v>
      </c>
      <c r="I284">
        <v>8.6</v>
      </c>
      <c r="J284">
        <v>4.8</v>
      </c>
      <c r="K284">
        <v>2.8</v>
      </c>
      <c r="L284">
        <v>7.3</v>
      </c>
      <c r="M284">
        <v>26.3</v>
      </c>
      <c r="N284">
        <v>13.5</v>
      </c>
      <c r="O284">
        <v>16.5</v>
      </c>
      <c r="P284">
        <v>0</v>
      </c>
      <c r="Q284">
        <v>0</v>
      </c>
      <c r="R284">
        <v>0</v>
      </c>
      <c r="S284">
        <v>3.5</v>
      </c>
      <c r="T284">
        <v>13.5</v>
      </c>
      <c r="U284">
        <v>0</v>
      </c>
      <c r="V284">
        <v>4</v>
      </c>
      <c r="W284">
        <v>2.6</v>
      </c>
      <c r="X284">
        <v>0</v>
      </c>
      <c r="Y284">
        <f t="shared" si="4"/>
        <v>119.69999999999999</v>
      </c>
      <c r="Z284">
        <v>8.9</v>
      </c>
      <c r="AA284">
        <v>20</v>
      </c>
      <c r="AB284">
        <v>1</v>
      </c>
      <c r="AC284">
        <v>5</v>
      </c>
      <c r="AD284">
        <v>3</v>
      </c>
      <c r="AE284">
        <v>1</v>
      </c>
      <c r="AF284">
        <v>1</v>
      </c>
      <c r="AG284">
        <v>0</v>
      </c>
      <c r="AH284">
        <v>0.29411764705882354</v>
      </c>
      <c r="AI284">
        <v>0.21428571428571427</v>
      </c>
      <c r="AJ284">
        <v>7.1428571428571425E-2</v>
      </c>
      <c r="AK284">
        <v>7.1428571428571425E-2</v>
      </c>
      <c r="AL284">
        <v>0</v>
      </c>
    </row>
    <row r="285" spans="1:38" x14ac:dyDescent="0.25">
      <c r="A285">
        <v>2025</v>
      </c>
      <c r="B285" t="s">
        <v>301</v>
      </c>
      <c r="C285" t="s">
        <v>26</v>
      </c>
      <c r="D285" t="str" cm="1">
        <f t="array" ref="D285">_xlfn.XLOOKUP(1,('26 WR'!A:A=E285)*('26 WR'!B:B=F285),'26 WR'!C:C)</f>
        <v>Mack Hollins</v>
      </c>
      <c r="E285" t="s">
        <v>20</v>
      </c>
      <c r="F285">
        <v>104</v>
      </c>
      <c r="G285">
        <v>259</v>
      </c>
      <c r="H285">
        <v>0</v>
      </c>
      <c r="I285">
        <v>6.2</v>
      </c>
      <c r="J285">
        <v>7.8</v>
      </c>
      <c r="K285">
        <v>2.7</v>
      </c>
      <c r="L285">
        <v>24.2</v>
      </c>
      <c r="M285">
        <v>19.2</v>
      </c>
      <c r="N285">
        <v>3.4</v>
      </c>
      <c r="O285">
        <v>7.4</v>
      </c>
      <c r="P285">
        <v>5.4</v>
      </c>
      <c r="Q285">
        <v>2.9</v>
      </c>
      <c r="R285">
        <v>0</v>
      </c>
      <c r="S285">
        <v>0</v>
      </c>
      <c r="T285">
        <v>0</v>
      </c>
      <c r="U285">
        <v>0</v>
      </c>
      <c r="V285">
        <v>3.7</v>
      </c>
      <c r="W285">
        <v>5.7</v>
      </c>
      <c r="X285">
        <v>3.5</v>
      </c>
      <c r="Y285">
        <f t="shared" si="4"/>
        <v>92.100000000000009</v>
      </c>
      <c r="Z285">
        <v>5.8</v>
      </c>
      <c r="AA285">
        <v>20</v>
      </c>
      <c r="AB285">
        <v>1</v>
      </c>
      <c r="AC285">
        <v>2</v>
      </c>
      <c r="AD285">
        <v>2</v>
      </c>
      <c r="AE285">
        <v>1</v>
      </c>
      <c r="AF285">
        <v>0</v>
      </c>
      <c r="AG285">
        <v>0</v>
      </c>
      <c r="AH285">
        <v>0.11764705882352941</v>
      </c>
      <c r="AI285">
        <v>0.125</v>
      </c>
      <c r="AJ285">
        <v>6.25E-2</v>
      </c>
      <c r="AK285">
        <v>0</v>
      </c>
      <c r="AL285">
        <v>0</v>
      </c>
    </row>
    <row r="286" spans="1:38" x14ac:dyDescent="0.25">
      <c r="A286">
        <v>2025</v>
      </c>
      <c r="B286" t="s">
        <v>303</v>
      </c>
      <c r="C286" t="s">
        <v>57</v>
      </c>
      <c r="D286" t="str" cm="1">
        <f t="array" ref="D286">_xlfn.XLOOKUP(1,('26 WR'!A:A=E286)*('26 WR'!B:B=F286),'26 WR'!C:C)</f>
        <v>Keenan Allen</v>
      </c>
      <c r="E286" t="s">
        <v>20</v>
      </c>
      <c r="F286">
        <v>105</v>
      </c>
      <c r="G286">
        <v>261</v>
      </c>
      <c r="H286">
        <v>6.9</v>
      </c>
      <c r="I286">
        <v>7.4</v>
      </c>
      <c r="J286">
        <v>12</v>
      </c>
      <c r="K286">
        <v>4</v>
      </c>
      <c r="L286">
        <v>11.9</v>
      </c>
      <c r="M286">
        <v>7.1</v>
      </c>
      <c r="N286">
        <v>7.5</v>
      </c>
      <c r="O286">
        <v>1.8</v>
      </c>
      <c r="P286">
        <v>0</v>
      </c>
      <c r="Q286">
        <v>6.1</v>
      </c>
      <c r="R286">
        <v>10.1</v>
      </c>
      <c r="S286">
        <v>4.2</v>
      </c>
      <c r="T286">
        <v>1.5</v>
      </c>
      <c r="U286">
        <v>1.5</v>
      </c>
      <c r="V286">
        <v>0</v>
      </c>
      <c r="W286">
        <v>0</v>
      </c>
      <c r="X286">
        <v>0</v>
      </c>
      <c r="Y286">
        <f t="shared" si="4"/>
        <v>82</v>
      </c>
      <c r="Z286">
        <v>6.3</v>
      </c>
      <c r="AA286">
        <v>20</v>
      </c>
      <c r="AB286">
        <v>1</v>
      </c>
      <c r="AC286">
        <v>3</v>
      </c>
      <c r="AD286">
        <v>0</v>
      </c>
      <c r="AE286">
        <v>0</v>
      </c>
      <c r="AF286">
        <v>0</v>
      </c>
      <c r="AG286">
        <v>0</v>
      </c>
      <c r="AH286">
        <v>0.17647058823529413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2025</v>
      </c>
      <c r="B287" t="s">
        <v>307</v>
      </c>
      <c r="C287" t="s">
        <v>90</v>
      </c>
      <c r="D287" t="str" cm="1">
        <f t="array" ref="D287">_xlfn.XLOOKUP(1,('26 WR'!A:A=E287)*('26 WR'!B:B=F287),'26 WR'!C:C)</f>
        <v>Kyle Williams</v>
      </c>
      <c r="E287" t="s">
        <v>20</v>
      </c>
      <c r="F287">
        <v>106</v>
      </c>
      <c r="G287">
        <v>264</v>
      </c>
      <c r="H287">
        <v>4.0999999999999996</v>
      </c>
      <c r="I287">
        <v>4</v>
      </c>
      <c r="J287">
        <v>0</v>
      </c>
      <c r="K287">
        <v>10.6</v>
      </c>
      <c r="L287">
        <v>0</v>
      </c>
      <c r="M287">
        <v>0</v>
      </c>
      <c r="N287">
        <v>1.8</v>
      </c>
      <c r="O287">
        <v>0</v>
      </c>
      <c r="P287">
        <v>1.7</v>
      </c>
      <c r="Q287">
        <v>0</v>
      </c>
      <c r="R287">
        <v>2</v>
      </c>
      <c r="S287">
        <v>6.2</v>
      </c>
      <c r="T287">
        <v>24.2</v>
      </c>
      <c r="U287">
        <v>3.4</v>
      </c>
      <c r="V287">
        <v>17.399999999999999</v>
      </c>
      <c r="W287">
        <v>7.3</v>
      </c>
      <c r="X287">
        <v>5.2</v>
      </c>
      <c r="Y287">
        <f t="shared" si="4"/>
        <v>87.899999999999991</v>
      </c>
      <c r="Z287">
        <v>5.5</v>
      </c>
      <c r="AA287">
        <v>20</v>
      </c>
      <c r="AB287">
        <v>1</v>
      </c>
      <c r="AC287">
        <v>3</v>
      </c>
      <c r="AD287">
        <v>2</v>
      </c>
      <c r="AE287">
        <v>1</v>
      </c>
      <c r="AF287">
        <v>0</v>
      </c>
      <c r="AG287">
        <v>0</v>
      </c>
      <c r="AH287">
        <v>0.17647058823529413</v>
      </c>
      <c r="AI287">
        <v>0.125</v>
      </c>
      <c r="AJ287">
        <v>6.25E-2</v>
      </c>
      <c r="AK287">
        <v>0</v>
      </c>
      <c r="AL287">
        <v>0</v>
      </c>
    </row>
    <row r="288" spans="1:38" x14ac:dyDescent="0.25">
      <c r="A288">
        <v>2025</v>
      </c>
      <c r="B288" t="s">
        <v>308</v>
      </c>
      <c r="C288" t="s">
        <v>85</v>
      </c>
      <c r="D288" t="str" cm="1">
        <f t="array" ref="D288">_xlfn.XLOOKUP(1,('26 WR'!A:A=E288)*('26 WR'!B:B=F288),'26 WR'!C:C)</f>
        <v>Hollywood Brown</v>
      </c>
      <c r="E288" t="s">
        <v>20</v>
      </c>
      <c r="F288">
        <v>107</v>
      </c>
      <c r="G288">
        <v>265</v>
      </c>
      <c r="H288">
        <v>6.1</v>
      </c>
      <c r="I288">
        <v>13.9</v>
      </c>
      <c r="J288">
        <v>18.100000000000001</v>
      </c>
      <c r="K288">
        <v>8.1</v>
      </c>
      <c r="L288">
        <v>12</v>
      </c>
      <c r="M288">
        <v>0</v>
      </c>
      <c r="N288">
        <v>4.9000000000000004</v>
      </c>
      <c r="O288">
        <v>0</v>
      </c>
      <c r="P288">
        <v>0</v>
      </c>
      <c r="Q288">
        <v>0</v>
      </c>
      <c r="R288">
        <v>7.1</v>
      </c>
      <c r="S288">
        <v>0</v>
      </c>
      <c r="T288">
        <v>0</v>
      </c>
      <c r="U288">
        <v>3.9</v>
      </c>
      <c r="V288">
        <v>6.7</v>
      </c>
      <c r="W288">
        <v>0</v>
      </c>
      <c r="X288">
        <v>0</v>
      </c>
      <c r="Y288">
        <f t="shared" si="4"/>
        <v>80.800000000000011</v>
      </c>
      <c r="Z288">
        <v>5.8</v>
      </c>
      <c r="AA288">
        <v>20</v>
      </c>
      <c r="AB288">
        <v>1</v>
      </c>
      <c r="AC288">
        <v>3</v>
      </c>
      <c r="AD288">
        <v>1</v>
      </c>
      <c r="AE288">
        <v>0</v>
      </c>
      <c r="AF288">
        <v>0</v>
      </c>
      <c r="AG288">
        <v>0</v>
      </c>
      <c r="AH288">
        <v>0.17647058823529413</v>
      </c>
      <c r="AI288">
        <v>7.1428571428571425E-2</v>
      </c>
      <c r="AJ288">
        <v>0</v>
      </c>
      <c r="AK288">
        <v>0</v>
      </c>
      <c r="AL288">
        <v>0</v>
      </c>
    </row>
    <row r="289" spans="1:38" x14ac:dyDescent="0.25">
      <c r="A289">
        <v>2025</v>
      </c>
      <c r="B289" t="s">
        <v>310</v>
      </c>
      <c r="C289" t="s">
        <v>61</v>
      </c>
      <c r="D289" t="str" cm="1">
        <f t="array" ref="D289">_xlfn.XLOOKUP(1,('26 WR'!A:A=E289)*('26 WR'!B:B=F289),'26 WR'!C:C)</f>
        <v>Isaiah Bond</v>
      </c>
      <c r="E289" t="s">
        <v>20</v>
      </c>
      <c r="F289">
        <v>108</v>
      </c>
      <c r="G289">
        <v>267</v>
      </c>
      <c r="H289">
        <v>5</v>
      </c>
      <c r="I289">
        <v>8.4</v>
      </c>
      <c r="J289">
        <v>4.0999999999999996</v>
      </c>
      <c r="K289">
        <v>3.9</v>
      </c>
      <c r="L289">
        <v>0</v>
      </c>
      <c r="M289">
        <v>3.5</v>
      </c>
      <c r="N289">
        <v>1.5</v>
      </c>
      <c r="O289">
        <v>0</v>
      </c>
      <c r="P289">
        <v>0</v>
      </c>
      <c r="Q289">
        <v>7.8</v>
      </c>
      <c r="R289">
        <v>1.9</v>
      </c>
      <c r="S289">
        <v>5.2</v>
      </c>
      <c r="T289">
        <v>28</v>
      </c>
      <c r="U289">
        <v>0</v>
      </c>
      <c r="V289">
        <v>1.6</v>
      </c>
      <c r="W289">
        <v>3.2</v>
      </c>
      <c r="X289">
        <v>1.7</v>
      </c>
      <c r="Y289">
        <f t="shared" si="4"/>
        <v>75.8</v>
      </c>
      <c r="Z289">
        <v>5.4</v>
      </c>
      <c r="AA289">
        <v>20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0</v>
      </c>
      <c r="AH289">
        <v>5.8823529411764705E-2</v>
      </c>
      <c r="AI289">
        <v>7.1428571428571425E-2</v>
      </c>
      <c r="AJ289">
        <v>7.1428571428571425E-2</v>
      </c>
      <c r="AK289">
        <v>7.1428571428571425E-2</v>
      </c>
      <c r="AL289">
        <v>0</v>
      </c>
    </row>
    <row r="290" spans="1:38" x14ac:dyDescent="0.25">
      <c r="A290">
        <v>2025</v>
      </c>
      <c r="B290" t="s">
        <v>315</v>
      </c>
      <c r="C290" t="s">
        <v>45</v>
      </c>
      <c r="D290" t="str" cm="1">
        <f t="array" ref="D290">_xlfn.XLOOKUP(1,('26 WR'!A:A=E290)*('26 WR'!B:B=F290),'26 WR'!C:C)</f>
        <v>Skyler Bell</v>
      </c>
      <c r="E290" t="s">
        <v>20</v>
      </c>
      <c r="F290">
        <v>109</v>
      </c>
      <c r="G290">
        <v>271</v>
      </c>
      <c r="H290">
        <v>0.8</v>
      </c>
      <c r="I290">
        <v>2.1</v>
      </c>
      <c r="J290">
        <v>2.8</v>
      </c>
      <c r="K290">
        <v>7.9</v>
      </c>
      <c r="L290">
        <v>3.2</v>
      </c>
      <c r="M290">
        <v>9.9</v>
      </c>
      <c r="N290">
        <v>2.5</v>
      </c>
      <c r="O290">
        <v>0</v>
      </c>
      <c r="P290">
        <v>0.9</v>
      </c>
      <c r="Q290">
        <v>6.2</v>
      </c>
      <c r="R290">
        <v>18.600000000000001</v>
      </c>
      <c r="S290">
        <v>16.8</v>
      </c>
      <c r="T290">
        <v>3.4</v>
      </c>
      <c r="U290">
        <v>0</v>
      </c>
      <c r="V290">
        <v>0</v>
      </c>
      <c r="W290">
        <v>0</v>
      </c>
      <c r="X290">
        <v>0</v>
      </c>
      <c r="Y290">
        <f t="shared" si="4"/>
        <v>75.100000000000009</v>
      </c>
      <c r="Z290">
        <v>6.3</v>
      </c>
      <c r="AA290">
        <v>20</v>
      </c>
      <c r="AB290">
        <v>1</v>
      </c>
      <c r="AC290">
        <v>2</v>
      </c>
      <c r="AD290">
        <v>2</v>
      </c>
      <c r="AE290">
        <v>0</v>
      </c>
      <c r="AF290">
        <v>0</v>
      </c>
      <c r="AG290">
        <v>0</v>
      </c>
      <c r="AH290">
        <v>0.11764705882352941</v>
      </c>
      <c r="AI290">
        <v>0.16666666666666666</v>
      </c>
      <c r="AJ290">
        <v>0</v>
      </c>
      <c r="AK290">
        <v>0</v>
      </c>
      <c r="AL290">
        <v>0</v>
      </c>
    </row>
    <row r="291" spans="1:38" x14ac:dyDescent="0.25">
      <c r="A291">
        <v>2025</v>
      </c>
      <c r="B291" t="s">
        <v>317</v>
      </c>
      <c r="C291" t="s">
        <v>29</v>
      </c>
      <c r="D291" t="str" cm="1">
        <f t="array" ref="D291">_xlfn.XLOOKUP(1,('26 WR'!A:A=E291)*('26 WR'!B:B=F291),'26 WR'!C:C)</f>
        <v>Ja'Kobi Lane</v>
      </c>
      <c r="E291" t="s">
        <v>20</v>
      </c>
      <c r="F291">
        <v>110</v>
      </c>
      <c r="G291">
        <v>273</v>
      </c>
      <c r="H291">
        <v>13.4</v>
      </c>
      <c r="I291">
        <v>4.9000000000000004</v>
      </c>
      <c r="J291">
        <v>40.9</v>
      </c>
      <c r="K291">
        <v>4.2</v>
      </c>
      <c r="L291">
        <v>11.1</v>
      </c>
      <c r="M291">
        <v>12</v>
      </c>
      <c r="N291">
        <v>8.3000000000000007</v>
      </c>
      <c r="O291">
        <v>0</v>
      </c>
      <c r="P291">
        <v>6.8</v>
      </c>
      <c r="Q291">
        <v>5.5</v>
      </c>
      <c r="R291">
        <v>14.7</v>
      </c>
      <c r="S291">
        <v>5.8</v>
      </c>
      <c r="T291">
        <v>5</v>
      </c>
      <c r="U291">
        <v>4.4000000000000004</v>
      </c>
      <c r="V291">
        <v>0</v>
      </c>
      <c r="W291">
        <v>9.4</v>
      </c>
      <c r="X291">
        <v>9.9</v>
      </c>
      <c r="Y291">
        <f t="shared" si="4"/>
        <v>156.30000000000001</v>
      </c>
      <c r="Z291">
        <v>9.5</v>
      </c>
      <c r="AA291">
        <v>20</v>
      </c>
      <c r="AB291">
        <v>1</v>
      </c>
      <c r="AC291">
        <v>5</v>
      </c>
      <c r="AD291">
        <v>1</v>
      </c>
      <c r="AE291">
        <v>1</v>
      </c>
      <c r="AF291">
        <v>1</v>
      </c>
      <c r="AG291">
        <v>1</v>
      </c>
      <c r="AH291">
        <v>0.29411764705882354</v>
      </c>
      <c r="AI291">
        <v>5.8823529411764705E-2</v>
      </c>
      <c r="AJ291">
        <v>5.8823529411764705E-2</v>
      </c>
      <c r="AK291">
        <v>5.8823529411764705E-2</v>
      </c>
      <c r="AL291">
        <v>5.8823529411764705E-2</v>
      </c>
    </row>
    <row r="292" spans="1:38" x14ac:dyDescent="0.25">
      <c r="A292">
        <v>2025</v>
      </c>
      <c r="B292" t="s">
        <v>319</v>
      </c>
      <c r="C292" t="s">
        <v>35</v>
      </c>
      <c r="D292" t="str" cm="1">
        <f t="array" ref="D292">_xlfn.XLOOKUP(1,('26 WR'!A:A=E292)*('26 WR'!B:B=F292),'26 WR'!C:C)</f>
        <v>Andrei Iosivas</v>
      </c>
      <c r="E292" t="s">
        <v>20</v>
      </c>
      <c r="F292">
        <v>111</v>
      </c>
      <c r="G292">
        <v>275</v>
      </c>
      <c r="H292">
        <v>0</v>
      </c>
      <c r="I292">
        <v>0</v>
      </c>
      <c r="J292">
        <v>4.0999999999999996</v>
      </c>
      <c r="K292">
        <v>4.5999999999999996</v>
      </c>
      <c r="L292">
        <v>18.399999999999999</v>
      </c>
      <c r="M292">
        <v>6.3</v>
      </c>
      <c r="N292">
        <v>0</v>
      </c>
      <c r="O292">
        <v>1.7</v>
      </c>
      <c r="P292">
        <v>9.1999999999999993</v>
      </c>
      <c r="Q292">
        <v>0</v>
      </c>
      <c r="R292">
        <v>7.2</v>
      </c>
      <c r="S292">
        <v>0</v>
      </c>
      <c r="T292">
        <v>6.4</v>
      </c>
      <c r="U292">
        <v>26.5</v>
      </c>
      <c r="V292">
        <v>8</v>
      </c>
      <c r="W292">
        <v>9.8000000000000007</v>
      </c>
      <c r="X292">
        <v>0</v>
      </c>
      <c r="Y292">
        <f t="shared" si="4"/>
        <v>102.2</v>
      </c>
      <c r="Z292">
        <v>7.6</v>
      </c>
      <c r="AA292">
        <v>20</v>
      </c>
      <c r="AB292">
        <v>1</v>
      </c>
      <c r="AC292">
        <v>3</v>
      </c>
      <c r="AD292">
        <v>2</v>
      </c>
      <c r="AE292">
        <v>1</v>
      </c>
      <c r="AF292">
        <v>1</v>
      </c>
      <c r="AG292">
        <v>0</v>
      </c>
      <c r="AH292">
        <v>0.17647058823529413</v>
      </c>
      <c r="AI292">
        <v>0.13333333333333333</v>
      </c>
      <c r="AJ292">
        <v>6.6666666666666666E-2</v>
      </c>
      <c r="AK292">
        <v>6.6666666666666666E-2</v>
      </c>
      <c r="AL292">
        <v>0</v>
      </c>
    </row>
    <row r="293" spans="1:38" x14ac:dyDescent="0.25">
      <c r="A293">
        <v>2025</v>
      </c>
      <c r="B293" t="s">
        <v>327</v>
      </c>
      <c r="C293" t="s">
        <v>96</v>
      </c>
      <c r="D293" t="str" cm="1">
        <f t="array" ref="D293">_xlfn.XLOOKUP(1,('26 WR'!A:A=E293)*('26 WR'!B:B=F293),'26 WR'!C:C)</f>
        <v>Cedric Tillman</v>
      </c>
      <c r="E293" t="s">
        <v>20</v>
      </c>
      <c r="F293">
        <v>112</v>
      </c>
      <c r="G293">
        <v>282</v>
      </c>
      <c r="H293">
        <v>2.2999999999999998</v>
      </c>
      <c r="I293">
        <v>7.3</v>
      </c>
      <c r="J293">
        <v>0</v>
      </c>
      <c r="K293">
        <v>0</v>
      </c>
      <c r="L293">
        <v>3.3</v>
      </c>
      <c r="M293">
        <v>0</v>
      </c>
      <c r="N293">
        <v>0</v>
      </c>
      <c r="O293">
        <v>2</v>
      </c>
      <c r="P293">
        <v>0</v>
      </c>
      <c r="Q293">
        <v>2.5</v>
      </c>
      <c r="R293">
        <v>0</v>
      </c>
      <c r="S293">
        <v>6.7</v>
      </c>
      <c r="T293">
        <v>23.3</v>
      </c>
      <c r="U293">
        <v>7</v>
      </c>
      <c r="V293">
        <v>11.9</v>
      </c>
      <c r="W293">
        <v>0</v>
      </c>
      <c r="X293">
        <v>0</v>
      </c>
      <c r="Y293">
        <f t="shared" si="4"/>
        <v>66.3</v>
      </c>
      <c r="Z293">
        <v>5.0999999999999996</v>
      </c>
      <c r="AA293">
        <v>20</v>
      </c>
      <c r="AB293">
        <v>1</v>
      </c>
      <c r="AC293">
        <v>2</v>
      </c>
      <c r="AD293">
        <v>1</v>
      </c>
      <c r="AE293">
        <v>1</v>
      </c>
      <c r="AF293">
        <v>0</v>
      </c>
      <c r="AG293">
        <v>0</v>
      </c>
      <c r="AH293">
        <v>0.11764705882352941</v>
      </c>
      <c r="AI293">
        <v>7.6923076923076927E-2</v>
      </c>
      <c r="AJ293">
        <v>7.6923076923076927E-2</v>
      </c>
      <c r="AK293">
        <v>0</v>
      </c>
      <c r="AL293">
        <v>0</v>
      </c>
    </row>
    <row r="294" spans="1:38" x14ac:dyDescent="0.25">
      <c r="A294">
        <v>2025</v>
      </c>
      <c r="B294" t="s">
        <v>329</v>
      </c>
      <c r="C294" t="s">
        <v>39</v>
      </c>
      <c r="D294" t="str" cm="1">
        <f t="array" ref="D294">_xlfn.XLOOKUP(1,('26 WR'!A:A=E294)*('26 WR'!B:B=F294),'26 WR'!C:C)</f>
        <v>Jalen Royals</v>
      </c>
      <c r="E294" t="s">
        <v>20</v>
      </c>
      <c r="F294">
        <v>113</v>
      </c>
      <c r="G294">
        <v>283</v>
      </c>
      <c r="H294">
        <v>1.7</v>
      </c>
      <c r="I294">
        <v>0</v>
      </c>
      <c r="J294">
        <v>1.4</v>
      </c>
      <c r="K294">
        <v>1</v>
      </c>
      <c r="L294">
        <v>9.8000000000000007</v>
      </c>
      <c r="M294">
        <v>0</v>
      </c>
      <c r="N294">
        <v>11.7</v>
      </c>
      <c r="O294">
        <v>11.3</v>
      </c>
      <c r="P294">
        <v>0.3</v>
      </c>
      <c r="Q294">
        <v>7.5</v>
      </c>
      <c r="R294">
        <v>2.2000000000000002</v>
      </c>
      <c r="S294">
        <v>1.9</v>
      </c>
      <c r="T294">
        <v>0</v>
      </c>
      <c r="U294">
        <v>3.3</v>
      </c>
      <c r="V294">
        <v>0</v>
      </c>
      <c r="W294">
        <v>0</v>
      </c>
      <c r="X294">
        <v>14.6</v>
      </c>
      <c r="Y294">
        <f t="shared" si="4"/>
        <v>66.7</v>
      </c>
      <c r="Z294">
        <v>4</v>
      </c>
      <c r="AA294">
        <v>20</v>
      </c>
      <c r="AB294">
        <v>1</v>
      </c>
      <c r="AC294">
        <v>3</v>
      </c>
      <c r="AD294">
        <v>0</v>
      </c>
      <c r="AE294">
        <v>0</v>
      </c>
      <c r="AF294">
        <v>0</v>
      </c>
      <c r="AG294">
        <v>0</v>
      </c>
      <c r="AH294">
        <v>0.17647058823529413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2025</v>
      </c>
      <c r="B295" t="s">
        <v>340</v>
      </c>
      <c r="C295" t="s">
        <v>24</v>
      </c>
      <c r="D295" t="str" cm="1">
        <f t="array" ref="D295">_xlfn.XLOOKUP(1,('26 WR'!A:A=E295)*('26 WR'!B:B=F295),'26 WR'!C:C)</f>
        <v>Tez Johnson</v>
      </c>
      <c r="E295" t="s">
        <v>20</v>
      </c>
      <c r="F295">
        <v>114</v>
      </c>
      <c r="G295">
        <v>291</v>
      </c>
      <c r="H295">
        <v>0</v>
      </c>
      <c r="I295">
        <v>0</v>
      </c>
      <c r="J295">
        <v>1.9</v>
      </c>
      <c r="K295">
        <v>0</v>
      </c>
      <c r="L295">
        <v>0</v>
      </c>
      <c r="M295">
        <v>0</v>
      </c>
      <c r="N295">
        <v>0</v>
      </c>
      <c r="O295">
        <v>3.4</v>
      </c>
      <c r="P295">
        <v>0</v>
      </c>
      <c r="Q295">
        <v>0</v>
      </c>
      <c r="R295">
        <v>2.1</v>
      </c>
      <c r="S295">
        <v>9.6</v>
      </c>
      <c r="T295">
        <v>9.5</v>
      </c>
      <c r="U295">
        <v>0</v>
      </c>
      <c r="V295">
        <v>13.8</v>
      </c>
      <c r="W295">
        <v>0</v>
      </c>
      <c r="X295">
        <v>6.7</v>
      </c>
      <c r="Y295">
        <f t="shared" si="4"/>
        <v>47</v>
      </c>
      <c r="Z295">
        <v>2.9</v>
      </c>
      <c r="AA295">
        <v>20</v>
      </c>
      <c r="AB295">
        <v>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5.8823529411764705E-2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2025</v>
      </c>
      <c r="B296" t="s">
        <v>342</v>
      </c>
      <c r="C296" t="s">
        <v>26</v>
      </c>
      <c r="D296" t="str" cm="1">
        <f t="array" ref="D296">_xlfn.XLOOKUP(1,('26 WR'!A:A=E296)*('26 WR'!B:B=F296),'26 WR'!C:C)</f>
        <v>Luke McCaffrey</v>
      </c>
      <c r="E296" t="s">
        <v>20</v>
      </c>
      <c r="F296">
        <v>115</v>
      </c>
      <c r="G296">
        <v>293</v>
      </c>
      <c r="H296">
        <v>0</v>
      </c>
      <c r="I296">
        <v>0</v>
      </c>
      <c r="J296">
        <v>0</v>
      </c>
      <c r="K296">
        <v>3</v>
      </c>
      <c r="L296">
        <v>6.9</v>
      </c>
      <c r="M296">
        <v>6.4</v>
      </c>
      <c r="N296">
        <v>0</v>
      </c>
      <c r="O296">
        <v>4.5</v>
      </c>
      <c r="P296">
        <v>0</v>
      </c>
      <c r="Q296">
        <v>6.4</v>
      </c>
      <c r="R296">
        <v>2.2999999999999998</v>
      </c>
      <c r="S296">
        <v>1.8</v>
      </c>
      <c r="T296">
        <v>0.6</v>
      </c>
      <c r="U296">
        <v>0</v>
      </c>
      <c r="V296">
        <v>5.6</v>
      </c>
      <c r="W296">
        <v>10.3</v>
      </c>
      <c r="X296">
        <v>5</v>
      </c>
      <c r="Y296">
        <f t="shared" si="4"/>
        <v>52.800000000000011</v>
      </c>
      <c r="Z296">
        <v>4.2</v>
      </c>
      <c r="AA296">
        <v>20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5.8823529411764705E-2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2025</v>
      </c>
      <c r="B297" t="s">
        <v>347</v>
      </c>
      <c r="C297" t="s">
        <v>114</v>
      </c>
      <c r="D297" t="str" cm="1">
        <f t="array" ref="D297">_xlfn.XLOOKUP(1,('26 WR'!A:A=E297)*('26 WR'!B:B=F297),'26 WR'!C:C)</f>
        <v>Calvin Austin III</v>
      </c>
      <c r="E297" t="s">
        <v>20</v>
      </c>
      <c r="F297">
        <v>116</v>
      </c>
      <c r="G297">
        <v>294</v>
      </c>
      <c r="H297">
        <v>0.9</v>
      </c>
      <c r="I297">
        <v>2.8</v>
      </c>
      <c r="J297">
        <v>3.5</v>
      </c>
      <c r="K297">
        <v>0.4</v>
      </c>
      <c r="L297">
        <v>3.7</v>
      </c>
      <c r="M297">
        <v>2.8</v>
      </c>
      <c r="N297">
        <v>16.899999999999999</v>
      </c>
      <c r="O297">
        <v>16.399999999999999</v>
      </c>
      <c r="P297">
        <v>7.5</v>
      </c>
      <c r="Q297">
        <v>0</v>
      </c>
      <c r="R297">
        <v>3.4</v>
      </c>
      <c r="S297">
        <v>21.4</v>
      </c>
      <c r="T297">
        <v>0.1</v>
      </c>
      <c r="U297">
        <v>13.4</v>
      </c>
      <c r="V297">
        <v>5</v>
      </c>
      <c r="W297">
        <v>13</v>
      </c>
      <c r="X297">
        <v>10.199999999999999</v>
      </c>
      <c r="Y297">
        <f t="shared" si="4"/>
        <v>121.39999999999999</v>
      </c>
      <c r="Z297">
        <v>7.4</v>
      </c>
      <c r="AA297">
        <v>20</v>
      </c>
      <c r="AB297">
        <v>1</v>
      </c>
      <c r="AC297">
        <v>6</v>
      </c>
      <c r="AD297">
        <v>3</v>
      </c>
      <c r="AE297">
        <v>1</v>
      </c>
      <c r="AF297">
        <v>0</v>
      </c>
      <c r="AG297">
        <v>0</v>
      </c>
      <c r="AH297">
        <v>0.35294117647058826</v>
      </c>
      <c r="AI297">
        <v>0.17647058823529413</v>
      </c>
      <c r="AJ297">
        <v>5.8823529411764705E-2</v>
      </c>
      <c r="AK297">
        <v>0</v>
      </c>
      <c r="AL297">
        <v>0</v>
      </c>
    </row>
    <row r="298" spans="1:38" x14ac:dyDescent="0.25">
      <c r="A298">
        <v>2025</v>
      </c>
      <c r="B298" t="s">
        <v>348</v>
      </c>
      <c r="C298" t="s">
        <v>61</v>
      </c>
      <c r="D298" t="str" cm="1">
        <f t="array" ref="D298">_xlfn.XLOOKUP(1,('26 WR'!A:A=E298)*('26 WR'!B:B=F298),'26 WR'!C:C)</f>
        <v>Konata Mumpfield</v>
      </c>
      <c r="E298" t="s">
        <v>20</v>
      </c>
      <c r="F298">
        <v>117</v>
      </c>
      <c r="G298">
        <v>295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12.5</v>
      </c>
      <c r="P298">
        <v>7.8</v>
      </c>
      <c r="Q298">
        <v>6.5</v>
      </c>
      <c r="R298">
        <v>20.6</v>
      </c>
      <c r="S298">
        <v>9.9</v>
      </c>
      <c r="T298">
        <v>18.3</v>
      </c>
      <c r="U298">
        <v>24.9</v>
      </c>
      <c r="V298">
        <v>5.9</v>
      </c>
      <c r="W298">
        <v>3.7</v>
      </c>
      <c r="X298">
        <v>22.3</v>
      </c>
      <c r="Y298">
        <f t="shared" si="4"/>
        <v>132.4</v>
      </c>
      <c r="Z298">
        <v>13.2</v>
      </c>
      <c r="AA298">
        <v>20</v>
      </c>
      <c r="AB298">
        <v>1</v>
      </c>
      <c r="AC298">
        <v>5</v>
      </c>
      <c r="AD298">
        <v>4</v>
      </c>
      <c r="AE298">
        <v>3</v>
      </c>
      <c r="AF298">
        <v>0</v>
      </c>
      <c r="AG298">
        <v>0</v>
      </c>
      <c r="AH298">
        <v>0.29411764705882354</v>
      </c>
      <c r="AI298">
        <v>0.4</v>
      </c>
      <c r="AJ298">
        <v>0.3</v>
      </c>
      <c r="AK298">
        <v>0</v>
      </c>
      <c r="AL298">
        <v>0</v>
      </c>
    </row>
    <row r="299" spans="1:38" x14ac:dyDescent="0.25">
      <c r="A299">
        <v>2025</v>
      </c>
      <c r="B299" t="s">
        <v>349</v>
      </c>
      <c r="C299" t="s">
        <v>51</v>
      </c>
      <c r="D299" t="str" cm="1">
        <f t="array" ref="D299">_xlfn.XLOOKUP(1,('26 WR'!A:A=E299)*('26 WR'!B:B=F299),'26 WR'!C:C)</f>
        <v>Olamide Zaccheaus</v>
      </c>
      <c r="E299" t="s">
        <v>20</v>
      </c>
      <c r="F299">
        <v>118</v>
      </c>
      <c r="G299">
        <v>297</v>
      </c>
      <c r="H299">
        <v>0</v>
      </c>
      <c r="I299">
        <v>12.6</v>
      </c>
      <c r="J299">
        <v>7.4</v>
      </c>
      <c r="K299">
        <v>5.9</v>
      </c>
      <c r="L299">
        <v>9.6</v>
      </c>
      <c r="M299">
        <v>4.9000000000000004</v>
      </c>
      <c r="N299">
        <v>10.199999999999999</v>
      </c>
      <c r="O299">
        <v>0</v>
      </c>
      <c r="P299">
        <v>17</v>
      </c>
      <c r="Q299">
        <v>17.899999999999999</v>
      </c>
      <c r="R299">
        <v>4</v>
      </c>
      <c r="S299">
        <v>18.100000000000001</v>
      </c>
      <c r="T299">
        <v>3.6</v>
      </c>
      <c r="U299">
        <v>0</v>
      </c>
      <c r="V299">
        <v>8.3000000000000007</v>
      </c>
      <c r="W299">
        <v>26.5</v>
      </c>
      <c r="X299">
        <v>19</v>
      </c>
      <c r="Y299">
        <f t="shared" si="4"/>
        <v>165</v>
      </c>
      <c r="Z299">
        <v>11.5</v>
      </c>
      <c r="AA299">
        <v>20</v>
      </c>
      <c r="AB299">
        <v>1</v>
      </c>
      <c r="AC299">
        <v>8</v>
      </c>
      <c r="AD299">
        <v>6</v>
      </c>
      <c r="AE299">
        <v>1</v>
      </c>
      <c r="AF299">
        <v>1</v>
      </c>
      <c r="AG299">
        <v>0</v>
      </c>
      <c r="AH299">
        <v>0.47058823529411764</v>
      </c>
      <c r="AI299">
        <v>0.375</v>
      </c>
      <c r="AJ299">
        <v>6.25E-2</v>
      </c>
      <c r="AK299">
        <v>6.25E-2</v>
      </c>
      <c r="AL299">
        <v>0</v>
      </c>
    </row>
    <row r="300" spans="1:38" x14ac:dyDescent="0.25">
      <c r="A300">
        <v>2025</v>
      </c>
      <c r="B300" t="s">
        <v>353</v>
      </c>
      <c r="C300" t="s">
        <v>90</v>
      </c>
      <c r="D300" t="str" cm="1">
        <f t="array" ref="D300">_xlfn.XLOOKUP(1,('26 WR'!A:A=E300)*('26 WR'!B:B=F300),'26 WR'!C:C)</f>
        <v>Jahan Dotson</v>
      </c>
      <c r="E300" t="s">
        <v>20</v>
      </c>
      <c r="F300">
        <v>119</v>
      </c>
      <c r="G300">
        <v>299</v>
      </c>
      <c r="H300">
        <v>0</v>
      </c>
      <c r="I300">
        <v>0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8.6</v>
      </c>
      <c r="P300">
        <v>0</v>
      </c>
      <c r="Q300">
        <v>7.4</v>
      </c>
      <c r="R300">
        <v>1.6</v>
      </c>
      <c r="S300">
        <v>0</v>
      </c>
      <c r="T300">
        <v>0</v>
      </c>
      <c r="U300">
        <v>10.4</v>
      </c>
      <c r="V300">
        <v>11.3</v>
      </c>
      <c r="W300">
        <v>6.5</v>
      </c>
      <c r="X300">
        <v>7.5</v>
      </c>
      <c r="Y300">
        <f t="shared" si="4"/>
        <v>55.3</v>
      </c>
      <c r="Z300">
        <v>3.9</v>
      </c>
      <c r="AA300">
        <v>20</v>
      </c>
      <c r="AB300">
        <v>1</v>
      </c>
      <c r="AC300">
        <v>2</v>
      </c>
      <c r="AD300">
        <v>0</v>
      </c>
      <c r="AE300">
        <v>0</v>
      </c>
      <c r="AF300">
        <v>0</v>
      </c>
      <c r="AG300">
        <v>0</v>
      </c>
      <c r="AH300">
        <v>0.11764705882352941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B301">
        <v>1</v>
      </c>
    </row>
    <row r="302" spans="1:38" x14ac:dyDescent="0.25">
      <c r="AB302">
        <v>1</v>
      </c>
    </row>
    <row r="303" spans="1:38" x14ac:dyDescent="0.25">
      <c r="AB303">
        <v>1</v>
      </c>
    </row>
    <row r="304" spans="1:38" x14ac:dyDescent="0.25">
      <c r="AB304">
        <v>1</v>
      </c>
    </row>
    <row r="305" spans="28:28" x14ac:dyDescent="0.25">
      <c r="AB305">
        <v>1</v>
      </c>
    </row>
    <row r="306" spans="28:28" x14ac:dyDescent="0.25">
      <c r="AB306">
        <v>1</v>
      </c>
    </row>
    <row r="307" spans="28:28" x14ac:dyDescent="0.25">
      <c r="AB307">
        <v>1</v>
      </c>
    </row>
    <row r="308" spans="28:28" x14ac:dyDescent="0.25">
      <c r="AB308">
        <v>1</v>
      </c>
    </row>
    <row r="309" spans="28:28" x14ac:dyDescent="0.25">
      <c r="AB309">
        <v>1</v>
      </c>
    </row>
    <row r="310" spans="28:28" x14ac:dyDescent="0.25">
      <c r="AB310">
        <v>1</v>
      </c>
    </row>
    <row r="311" spans="28:28" x14ac:dyDescent="0.25">
      <c r="AB311">
        <v>1</v>
      </c>
    </row>
    <row r="312" spans="28:28" x14ac:dyDescent="0.25">
      <c r="AB312">
        <v>1</v>
      </c>
    </row>
    <row r="313" spans="28:28" x14ac:dyDescent="0.25">
      <c r="AB313">
        <v>1</v>
      </c>
    </row>
    <row r="314" spans="28:28" x14ac:dyDescent="0.25">
      <c r="AB314">
        <v>1</v>
      </c>
    </row>
    <row r="315" spans="28:28" x14ac:dyDescent="0.25">
      <c r="AB315">
        <v>1</v>
      </c>
    </row>
    <row r="316" spans="28:28" x14ac:dyDescent="0.25">
      <c r="AB316">
        <v>1</v>
      </c>
    </row>
    <row r="317" spans="28:28" x14ac:dyDescent="0.25">
      <c r="AB317">
        <v>1</v>
      </c>
    </row>
    <row r="318" spans="28:28" x14ac:dyDescent="0.25">
      <c r="AB318">
        <v>1</v>
      </c>
    </row>
    <row r="319" spans="28:28" x14ac:dyDescent="0.25">
      <c r="AB3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A299-DD51-4B6B-A607-A4710C1D6CD7}">
  <sheetPr codeName="Sheet2"/>
  <dimension ref="A1:C119"/>
  <sheetViews>
    <sheetView topLeftCell="A103" workbookViewId="0">
      <selection activeCell="C10" sqref="C10"/>
    </sheetView>
  </sheetViews>
  <sheetFormatPr defaultRowHeight="15" x14ac:dyDescent="0.25"/>
  <sheetData>
    <row r="1" spans="1:3" x14ac:dyDescent="0.25">
      <c r="A1" t="s">
        <v>19</v>
      </c>
      <c r="B1" t="s">
        <v>20</v>
      </c>
      <c r="C1">
        <v>1</v>
      </c>
    </row>
    <row r="2" spans="1:3" x14ac:dyDescent="0.25">
      <c r="A2" t="s">
        <v>30</v>
      </c>
      <c r="B2" t="s">
        <v>20</v>
      </c>
      <c r="C2">
        <v>2</v>
      </c>
    </row>
    <row r="3" spans="1:3" x14ac:dyDescent="0.25">
      <c r="A3" t="s">
        <v>34</v>
      </c>
      <c r="B3" t="s">
        <v>20</v>
      </c>
      <c r="C3">
        <v>3</v>
      </c>
    </row>
    <row r="4" spans="1:3" x14ac:dyDescent="0.25">
      <c r="A4" t="s">
        <v>38</v>
      </c>
      <c r="B4" t="s">
        <v>20</v>
      </c>
      <c r="C4">
        <v>4</v>
      </c>
    </row>
    <row r="5" spans="1:3" x14ac:dyDescent="0.25">
      <c r="A5" t="s">
        <v>42</v>
      </c>
      <c r="B5" t="s">
        <v>20</v>
      </c>
      <c r="C5">
        <v>5</v>
      </c>
    </row>
    <row r="6" spans="1:3" x14ac:dyDescent="0.25">
      <c r="A6" t="s">
        <v>46</v>
      </c>
      <c r="B6" t="s">
        <v>20</v>
      </c>
      <c r="C6">
        <v>6</v>
      </c>
    </row>
    <row r="7" spans="1:3" x14ac:dyDescent="0.25">
      <c r="A7" t="s">
        <v>48</v>
      </c>
      <c r="B7" t="s">
        <v>20</v>
      </c>
      <c r="C7">
        <v>7</v>
      </c>
    </row>
    <row r="8" spans="1:3" x14ac:dyDescent="0.25">
      <c r="A8" t="s">
        <v>50</v>
      </c>
      <c r="B8" t="s">
        <v>20</v>
      </c>
      <c r="C8">
        <v>8</v>
      </c>
    </row>
    <row r="9" spans="1:3" x14ac:dyDescent="0.25">
      <c r="A9" t="s">
        <v>53</v>
      </c>
      <c r="B9" t="s">
        <v>20</v>
      </c>
      <c r="C9">
        <v>9</v>
      </c>
    </row>
    <row r="10" spans="1:3" x14ac:dyDescent="0.25">
      <c r="A10" t="s">
        <v>62</v>
      </c>
      <c r="B10" t="s">
        <v>20</v>
      </c>
      <c r="C10">
        <v>10</v>
      </c>
    </row>
    <row r="11" spans="1:3" x14ac:dyDescent="0.25">
      <c r="A11" t="s">
        <v>64</v>
      </c>
      <c r="B11" t="s">
        <v>20</v>
      </c>
      <c r="C11">
        <v>11</v>
      </c>
    </row>
    <row r="12" spans="1:3" x14ac:dyDescent="0.25">
      <c r="A12" t="s">
        <v>69</v>
      </c>
      <c r="B12" t="s">
        <v>20</v>
      </c>
      <c r="C12">
        <v>12</v>
      </c>
    </row>
    <row r="13" spans="1:3" x14ac:dyDescent="0.25">
      <c r="A13" t="s">
        <v>73</v>
      </c>
      <c r="B13" t="s">
        <v>20</v>
      </c>
      <c r="C13">
        <v>13</v>
      </c>
    </row>
    <row r="14" spans="1:3" x14ac:dyDescent="0.25">
      <c r="A14" t="s">
        <v>75</v>
      </c>
      <c r="B14" t="s">
        <v>20</v>
      </c>
      <c r="C14">
        <v>14</v>
      </c>
    </row>
    <row r="15" spans="1:3" x14ac:dyDescent="0.25">
      <c r="A15" t="s">
        <v>81</v>
      </c>
      <c r="B15" t="s">
        <v>20</v>
      </c>
      <c r="C15">
        <v>15</v>
      </c>
    </row>
    <row r="16" spans="1:3" x14ac:dyDescent="0.25">
      <c r="A16" t="s">
        <v>82</v>
      </c>
      <c r="B16" t="s">
        <v>20</v>
      </c>
      <c r="C16">
        <v>16</v>
      </c>
    </row>
    <row r="17" spans="1:3" x14ac:dyDescent="0.25">
      <c r="A17" t="s">
        <v>83</v>
      </c>
      <c r="B17" t="s">
        <v>20</v>
      </c>
      <c r="C17">
        <v>17</v>
      </c>
    </row>
    <row r="18" spans="1:3" x14ac:dyDescent="0.25">
      <c r="A18" t="s">
        <v>84</v>
      </c>
      <c r="B18" t="s">
        <v>20</v>
      </c>
      <c r="C18">
        <v>18</v>
      </c>
    </row>
    <row r="19" spans="1:3" x14ac:dyDescent="0.25">
      <c r="A19" t="s">
        <v>87</v>
      </c>
      <c r="B19" t="s">
        <v>20</v>
      </c>
      <c r="C19">
        <v>19</v>
      </c>
    </row>
    <row r="20" spans="1:3" x14ac:dyDescent="0.25">
      <c r="A20" t="s">
        <v>89</v>
      </c>
      <c r="B20" t="s">
        <v>20</v>
      </c>
      <c r="C20">
        <v>20</v>
      </c>
    </row>
    <row r="21" spans="1:3" x14ac:dyDescent="0.25">
      <c r="A21" t="s">
        <v>91</v>
      </c>
      <c r="B21" t="s">
        <v>20</v>
      </c>
      <c r="C21">
        <v>21</v>
      </c>
    </row>
    <row r="22" spans="1:3" x14ac:dyDescent="0.25">
      <c r="A22" t="s">
        <v>97</v>
      </c>
      <c r="B22" t="s">
        <v>20</v>
      </c>
      <c r="C22">
        <v>22</v>
      </c>
    </row>
    <row r="23" spans="1:3" x14ac:dyDescent="0.25">
      <c r="A23" t="s">
        <v>99</v>
      </c>
      <c r="B23" t="s">
        <v>20</v>
      </c>
      <c r="C23">
        <v>23</v>
      </c>
    </row>
    <row r="24" spans="1:3" x14ac:dyDescent="0.25">
      <c r="A24" t="s">
        <v>101</v>
      </c>
      <c r="B24" t="s">
        <v>20</v>
      </c>
      <c r="C24">
        <v>24</v>
      </c>
    </row>
    <row r="25" spans="1:3" x14ac:dyDescent="0.25">
      <c r="A25" t="s">
        <v>102</v>
      </c>
      <c r="B25" t="s">
        <v>20</v>
      </c>
      <c r="C25">
        <v>25</v>
      </c>
    </row>
    <row r="26" spans="1:3" x14ac:dyDescent="0.25">
      <c r="A26" t="s">
        <v>107</v>
      </c>
      <c r="B26" t="s">
        <v>20</v>
      </c>
      <c r="C26">
        <v>26</v>
      </c>
    </row>
    <row r="27" spans="1:3" x14ac:dyDescent="0.25">
      <c r="A27" t="s">
        <v>109</v>
      </c>
      <c r="B27" t="s">
        <v>20</v>
      </c>
      <c r="C27">
        <v>27</v>
      </c>
    </row>
    <row r="28" spans="1:3" x14ac:dyDescent="0.25">
      <c r="A28" t="s">
        <v>111</v>
      </c>
      <c r="B28" t="s">
        <v>20</v>
      </c>
      <c r="C28">
        <v>28</v>
      </c>
    </row>
    <row r="29" spans="1:3" x14ac:dyDescent="0.25">
      <c r="A29" t="s">
        <v>113</v>
      </c>
      <c r="B29" t="s">
        <v>20</v>
      </c>
      <c r="C29">
        <v>29</v>
      </c>
    </row>
    <row r="30" spans="1:3" x14ac:dyDescent="0.25">
      <c r="A30" t="s">
        <v>115</v>
      </c>
      <c r="B30" t="s">
        <v>20</v>
      </c>
      <c r="C30">
        <v>30</v>
      </c>
    </row>
    <row r="31" spans="1:3" x14ac:dyDescent="0.25">
      <c r="A31" t="s">
        <v>118</v>
      </c>
      <c r="B31" t="s">
        <v>20</v>
      </c>
      <c r="C31">
        <v>31</v>
      </c>
    </row>
    <row r="32" spans="1:3" x14ac:dyDescent="0.25">
      <c r="A32" t="s">
        <v>119</v>
      </c>
      <c r="B32" t="s">
        <v>20</v>
      </c>
      <c r="C32">
        <v>32</v>
      </c>
    </row>
    <row r="33" spans="1:3" x14ac:dyDescent="0.25">
      <c r="A33" t="s">
        <v>121</v>
      </c>
      <c r="B33" t="s">
        <v>20</v>
      </c>
      <c r="C33">
        <v>33</v>
      </c>
    </row>
    <row r="34" spans="1:3" x14ac:dyDescent="0.25">
      <c r="A34" t="s">
        <v>123</v>
      </c>
      <c r="B34" t="s">
        <v>20</v>
      </c>
      <c r="C34">
        <v>34</v>
      </c>
    </row>
    <row r="35" spans="1:3" x14ac:dyDescent="0.25">
      <c r="A35" t="s">
        <v>124</v>
      </c>
      <c r="B35" t="s">
        <v>20</v>
      </c>
      <c r="C35">
        <v>35</v>
      </c>
    </row>
    <row r="36" spans="1:3" x14ac:dyDescent="0.25">
      <c r="A36" t="s">
        <v>125</v>
      </c>
      <c r="B36" t="s">
        <v>20</v>
      </c>
      <c r="C36">
        <v>36</v>
      </c>
    </row>
    <row r="37" spans="1:3" x14ac:dyDescent="0.25">
      <c r="A37" t="s">
        <v>126</v>
      </c>
      <c r="B37" t="s">
        <v>20</v>
      </c>
      <c r="C37">
        <v>37</v>
      </c>
    </row>
    <row r="38" spans="1:3" x14ac:dyDescent="0.25">
      <c r="A38" t="s">
        <v>131</v>
      </c>
      <c r="B38" t="s">
        <v>20</v>
      </c>
      <c r="C38">
        <v>38</v>
      </c>
    </row>
    <row r="39" spans="1:3" x14ac:dyDescent="0.25">
      <c r="A39" t="s">
        <v>135</v>
      </c>
      <c r="B39" t="s">
        <v>20</v>
      </c>
      <c r="C39">
        <v>39</v>
      </c>
    </row>
    <row r="40" spans="1:3" x14ac:dyDescent="0.25">
      <c r="A40" t="s">
        <v>136</v>
      </c>
      <c r="B40" t="s">
        <v>20</v>
      </c>
      <c r="C40">
        <v>40</v>
      </c>
    </row>
    <row r="41" spans="1:3" x14ac:dyDescent="0.25">
      <c r="A41" t="s">
        <v>139</v>
      </c>
      <c r="B41" t="s">
        <v>20</v>
      </c>
      <c r="C41">
        <v>41</v>
      </c>
    </row>
    <row r="42" spans="1:3" x14ac:dyDescent="0.25">
      <c r="A42" t="s">
        <v>145</v>
      </c>
      <c r="B42" t="s">
        <v>20</v>
      </c>
      <c r="C42">
        <v>42</v>
      </c>
    </row>
    <row r="43" spans="1:3" x14ac:dyDescent="0.25">
      <c r="A43" t="s">
        <v>148</v>
      </c>
      <c r="B43" t="s">
        <v>20</v>
      </c>
      <c r="C43">
        <v>43</v>
      </c>
    </row>
    <row r="44" spans="1:3" x14ac:dyDescent="0.25">
      <c r="A44" t="s">
        <v>149</v>
      </c>
      <c r="B44" t="s">
        <v>20</v>
      </c>
      <c r="C44">
        <v>44</v>
      </c>
    </row>
    <row r="45" spans="1:3" x14ac:dyDescent="0.25">
      <c r="A45" t="s">
        <v>152</v>
      </c>
      <c r="B45" t="s">
        <v>20</v>
      </c>
      <c r="C45">
        <v>45</v>
      </c>
    </row>
    <row r="46" spans="1:3" x14ac:dyDescent="0.25">
      <c r="A46" t="s">
        <v>154</v>
      </c>
      <c r="B46" t="s">
        <v>20</v>
      </c>
      <c r="C46">
        <v>46</v>
      </c>
    </row>
    <row r="47" spans="1:3" x14ac:dyDescent="0.25">
      <c r="A47" t="s">
        <v>155</v>
      </c>
      <c r="B47" t="s">
        <v>20</v>
      </c>
      <c r="C47">
        <v>47</v>
      </c>
    </row>
    <row r="48" spans="1:3" x14ac:dyDescent="0.25">
      <c r="A48" t="s">
        <v>156</v>
      </c>
      <c r="B48" t="s">
        <v>20</v>
      </c>
      <c r="C48">
        <v>48</v>
      </c>
    </row>
    <row r="49" spans="1:3" x14ac:dyDescent="0.25">
      <c r="A49" t="s">
        <v>164</v>
      </c>
      <c r="B49" t="s">
        <v>20</v>
      </c>
      <c r="C49">
        <v>49</v>
      </c>
    </row>
    <row r="50" spans="1:3" x14ac:dyDescent="0.25">
      <c r="A50" t="s">
        <v>168</v>
      </c>
      <c r="B50" t="s">
        <v>20</v>
      </c>
      <c r="C50">
        <v>50</v>
      </c>
    </row>
    <row r="51" spans="1:3" x14ac:dyDescent="0.25">
      <c r="A51" t="s">
        <v>172</v>
      </c>
      <c r="B51" t="s">
        <v>20</v>
      </c>
      <c r="C51">
        <v>51</v>
      </c>
    </row>
    <row r="52" spans="1:3" x14ac:dyDescent="0.25">
      <c r="A52" t="s">
        <v>175</v>
      </c>
      <c r="B52" t="s">
        <v>20</v>
      </c>
      <c r="C52">
        <v>52</v>
      </c>
    </row>
    <row r="53" spans="1:3" x14ac:dyDescent="0.25">
      <c r="A53" t="s">
        <v>177</v>
      </c>
      <c r="B53" t="s">
        <v>20</v>
      </c>
      <c r="C53">
        <v>53</v>
      </c>
    </row>
    <row r="54" spans="1:3" x14ac:dyDescent="0.25">
      <c r="A54" t="s">
        <v>178</v>
      </c>
      <c r="B54" t="s">
        <v>20</v>
      </c>
      <c r="C54">
        <v>54</v>
      </c>
    </row>
    <row r="55" spans="1:3" x14ac:dyDescent="0.25">
      <c r="A55" t="s">
        <v>184</v>
      </c>
      <c r="B55" t="s">
        <v>20</v>
      </c>
      <c r="C55">
        <v>55</v>
      </c>
    </row>
    <row r="56" spans="1:3" x14ac:dyDescent="0.25">
      <c r="A56" t="s">
        <v>187</v>
      </c>
      <c r="B56" t="s">
        <v>20</v>
      </c>
      <c r="C56">
        <v>56</v>
      </c>
    </row>
    <row r="57" spans="1:3" x14ac:dyDescent="0.25">
      <c r="A57" t="s">
        <v>190</v>
      </c>
      <c r="B57" t="s">
        <v>20</v>
      </c>
      <c r="C57">
        <v>57</v>
      </c>
    </row>
    <row r="58" spans="1:3" x14ac:dyDescent="0.25">
      <c r="A58" t="s">
        <v>192</v>
      </c>
      <c r="B58" t="s">
        <v>20</v>
      </c>
      <c r="C58">
        <v>58</v>
      </c>
    </row>
    <row r="59" spans="1:3" x14ac:dyDescent="0.25">
      <c r="A59" t="s">
        <v>194</v>
      </c>
      <c r="B59" t="s">
        <v>20</v>
      </c>
      <c r="C59">
        <v>59</v>
      </c>
    </row>
    <row r="60" spans="1:3" x14ac:dyDescent="0.25">
      <c r="A60" t="s">
        <v>197</v>
      </c>
      <c r="B60" t="s">
        <v>20</v>
      </c>
      <c r="C60">
        <v>60</v>
      </c>
    </row>
    <row r="61" spans="1:3" x14ac:dyDescent="0.25">
      <c r="A61" t="s">
        <v>201</v>
      </c>
      <c r="B61" t="s">
        <v>20</v>
      </c>
      <c r="C61">
        <v>61</v>
      </c>
    </row>
    <row r="62" spans="1:3" x14ac:dyDescent="0.25">
      <c r="A62" t="s">
        <v>204</v>
      </c>
      <c r="B62" t="s">
        <v>20</v>
      </c>
      <c r="C62">
        <v>62</v>
      </c>
    </row>
    <row r="63" spans="1:3" x14ac:dyDescent="0.25">
      <c r="A63" t="s">
        <v>206</v>
      </c>
      <c r="B63" t="s">
        <v>20</v>
      </c>
      <c r="C63">
        <v>63</v>
      </c>
    </row>
    <row r="64" spans="1:3" x14ac:dyDescent="0.25">
      <c r="A64" t="s">
        <v>209</v>
      </c>
      <c r="B64" t="s">
        <v>20</v>
      </c>
      <c r="C64">
        <v>64</v>
      </c>
    </row>
    <row r="65" spans="1:3" x14ac:dyDescent="0.25">
      <c r="A65" t="s">
        <v>210</v>
      </c>
      <c r="B65" t="s">
        <v>20</v>
      </c>
      <c r="C65">
        <v>65</v>
      </c>
    </row>
    <row r="66" spans="1:3" x14ac:dyDescent="0.25">
      <c r="A66" t="s">
        <v>215</v>
      </c>
      <c r="B66" t="s">
        <v>20</v>
      </c>
      <c r="C66">
        <v>66</v>
      </c>
    </row>
    <row r="67" spans="1:3" x14ac:dyDescent="0.25">
      <c r="A67" t="s">
        <v>218</v>
      </c>
      <c r="B67" t="s">
        <v>20</v>
      </c>
      <c r="C67">
        <v>67</v>
      </c>
    </row>
    <row r="68" spans="1:3" x14ac:dyDescent="0.25">
      <c r="A68" t="s">
        <v>226</v>
      </c>
      <c r="B68" t="s">
        <v>20</v>
      </c>
      <c r="C68">
        <v>68</v>
      </c>
    </row>
    <row r="69" spans="1:3" x14ac:dyDescent="0.25">
      <c r="A69" t="s">
        <v>227</v>
      </c>
      <c r="B69" t="s">
        <v>20</v>
      </c>
      <c r="C69">
        <v>69</v>
      </c>
    </row>
    <row r="70" spans="1:3" x14ac:dyDescent="0.25">
      <c r="A70" t="s">
        <v>229</v>
      </c>
      <c r="B70" t="s">
        <v>20</v>
      </c>
      <c r="C70">
        <v>70</v>
      </c>
    </row>
    <row r="71" spans="1:3" x14ac:dyDescent="0.25">
      <c r="A71" t="s">
        <v>231</v>
      </c>
      <c r="B71" t="s">
        <v>20</v>
      </c>
      <c r="C71">
        <v>71</v>
      </c>
    </row>
    <row r="72" spans="1:3" x14ac:dyDescent="0.25">
      <c r="A72" t="s">
        <v>237</v>
      </c>
      <c r="B72" t="s">
        <v>20</v>
      </c>
      <c r="C72">
        <v>72</v>
      </c>
    </row>
    <row r="73" spans="1:3" x14ac:dyDescent="0.25">
      <c r="A73" t="s">
        <v>238</v>
      </c>
      <c r="B73" t="s">
        <v>20</v>
      </c>
      <c r="C73">
        <v>73</v>
      </c>
    </row>
    <row r="74" spans="1:3" x14ac:dyDescent="0.25">
      <c r="A74" t="s">
        <v>240</v>
      </c>
      <c r="B74" t="s">
        <v>20</v>
      </c>
      <c r="C74">
        <v>74</v>
      </c>
    </row>
    <row r="75" spans="1:3" x14ac:dyDescent="0.25">
      <c r="A75" t="s">
        <v>243</v>
      </c>
      <c r="B75" t="s">
        <v>20</v>
      </c>
      <c r="C75">
        <v>75</v>
      </c>
    </row>
    <row r="76" spans="1:3" x14ac:dyDescent="0.25">
      <c r="A76" t="s">
        <v>244</v>
      </c>
      <c r="B76" t="s">
        <v>20</v>
      </c>
      <c r="C76">
        <v>76</v>
      </c>
    </row>
    <row r="77" spans="1:3" x14ac:dyDescent="0.25">
      <c r="A77" t="s">
        <v>245</v>
      </c>
      <c r="B77" t="s">
        <v>20</v>
      </c>
      <c r="C77">
        <v>77</v>
      </c>
    </row>
    <row r="78" spans="1:3" x14ac:dyDescent="0.25">
      <c r="A78" t="s">
        <v>246</v>
      </c>
      <c r="B78" t="s">
        <v>20</v>
      </c>
      <c r="C78">
        <v>78</v>
      </c>
    </row>
    <row r="79" spans="1:3" x14ac:dyDescent="0.25">
      <c r="A79" t="s">
        <v>247</v>
      </c>
      <c r="B79" t="s">
        <v>20</v>
      </c>
      <c r="C79">
        <v>79</v>
      </c>
    </row>
    <row r="80" spans="1:3" x14ac:dyDescent="0.25">
      <c r="A80" t="s">
        <v>253</v>
      </c>
      <c r="B80" t="s">
        <v>20</v>
      </c>
      <c r="C80">
        <v>80</v>
      </c>
    </row>
    <row r="81" spans="1:3" x14ac:dyDescent="0.25">
      <c r="A81" t="s">
        <v>256</v>
      </c>
      <c r="B81" t="s">
        <v>20</v>
      </c>
      <c r="C81">
        <v>81</v>
      </c>
    </row>
    <row r="82" spans="1:3" x14ac:dyDescent="0.25">
      <c r="A82" t="s">
        <v>258</v>
      </c>
      <c r="B82" t="s">
        <v>20</v>
      </c>
      <c r="C82">
        <v>82</v>
      </c>
    </row>
    <row r="83" spans="1:3" x14ac:dyDescent="0.25">
      <c r="A83" t="s">
        <v>259</v>
      </c>
      <c r="B83" t="s">
        <v>20</v>
      </c>
      <c r="C83">
        <v>83</v>
      </c>
    </row>
    <row r="84" spans="1:3" x14ac:dyDescent="0.25">
      <c r="A84" t="s">
        <v>263</v>
      </c>
      <c r="B84" t="s">
        <v>20</v>
      </c>
      <c r="C84">
        <v>84</v>
      </c>
    </row>
    <row r="85" spans="1:3" x14ac:dyDescent="0.25">
      <c r="A85" t="s">
        <v>265</v>
      </c>
      <c r="B85" t="s">
        <v>20</v>
      </c>
      <c r="C85">
        <v>85</v>
      </c>
    </row>
    <row r="86" spans="1:3" x14ac:dyDescent="0.25">
      <c r="A86" t="s">
        <v>270</v>
      </c>
      <c r="B86" t="s">
        <v>20</v>
      </c>
      <c r="C86">
        <v>86</v>
      </c>
    </row>
    <row r="87" spans="1:3" x14ac:dyDescent="0.25">
      <c r="A87" t="s">
        <v>271</v>
      </c>
      <c r="B87" t="s">
        <v>20</v>
      </c>
      <c r="C87">
        <v>87</v>
      </c>
    </row>
    <row r="88" spans="1:3" x14ac:dyDescent="0.25">
      <c r="A88" t="s">
        <v>272</v>
      </c>
      <c r="B88" t="s">
        <v>20</v>
      </c>
      <c r="C88">
        <v>88</v>
      </c>
    </row>
    <row r="89" spans="1:3" x14ac:dyDescent="0.25">
      <c r="A89" t="s">
        <v>273</v>
      </c>
      <c r="B89" t="s">
        <v>20</v>
      </c>
      <c r="C89">
        <v>89</v>
      </c>
    </row>
    <row r="90" spans="1:3" x14ac:dyDescent="0.25">
      <c r="A90" t="s">
        <v>275</v>
      </c>
      <c r="B90" t="s">
        <v>20</v>
      </c>
      <c r="C90">
        <v>90</v>
      </c>
    </row>
    <row r="91" spans="1:3" x14ac:dyDescent="0.25">
      <c r="A91" t="s">
        <v>276</v>
      </c>
      <c r="B91" t="s">
        <v>20</v>
      </c>
      <c r="C91">
        <v>91</v>
      </c>
    </row>
    <row r="92" spans="1:3" x14ac:dyDescent="0.25">
      <c r="A92" t="s">
        <v>280</v>
      </c>
      <c r="B92" t="s">
        <v>20</v>
      </c>
      <c r="C92">
        <v>92</v>
      </c>
    </row>
    <row r="93" spans="1:3" x14ac:dyDescent="0.25">
      <c r="A93" t="s">
        <v>281</v>
      </c>
      <c r="B93" t="s">
        <v>20</v>
      </c>
      <c r="C93">
        <v>93</v>
      </c>
    </row>
    <row r="94" spans="1:3" x14ac:dyDescent="0.25">
      <c r="A94" t="s">
        <v>282</v>
      </c>
      <c r="B94" t="s">
        <v>20</v>
      </c>
      <c r="C94">
        <v>94</v>
      </c>
    </row>
    <row r="95" spans="1:3" x14ac:dyDescent="0.25">
      <c r="A95" t="s">
        <v>285</v>
      </c>
      <c r="B95" t="s">
        <v>20</v>
      </c>
      <c r="C95">
        <v>95</v>
      </c>
    </row>
    <row r="96" spans="1:3" x14ac:dyDescent="0.25">
      <c r="A96" t="s">
        <v>288</v>
      </c>
      <c r="B96" t="s">
        <v>20</v>
      </c>
      <c r="C96">
        <v>96</v>
      </c>
    </row>
    <row r="97" spans="1:3" x14ac:dyDescent="0.25">
      <c r="A97" t="s">
        <v>292</v>
      </c>
      <c r="B97" t="s">
        <v>20</v>
      </c>
      <c r="C97">
        <v>97</v>
      </c>
    </row>
    <row r="98" spans="1:3" x14ac:dyDescent="0.25">
      <c r="A98" t="s">
        <v>294</v>
      </c>
      <c r="B98" t="s">
        <v>20</v>
      </c>
      <c r="C98">
        <v>98</v>
      </c>
    </row>
    <row r="99" spans="1:3" x14ac:dyDescent="0.25">
      <c r="A99" t="s">
        <v>295</v>
      </c>
      <c r="B99" t="s">
        <v>20</v>
      </c>
      <c r="C99">
        <v>99</v>
      </c>
    </row>
    <row r="100" spans="1:3" x14ac:dyDescent="0.25">
      <c r="A100" t="s">
        <v>296</v>
      </c>
      <c r="B100" t="s">
        <v>20</v>
      </c>
      <c r="C100">
        <v>100</v>
      </c>
    </row>
    <row r="101" spans="1:3" x14ac:dyDescent="0.25">
      <c r="A101" t="s">
        <v>297</v>
      </c>
      <c r="B101" t="s">
        <v>20</v>
      </c>
      <c r="C101">
        <v>101</v>
      </c>
    </row>
    <row r="102" spans="1:3" x14ac:dyDescent="0.25">
      <c r="A102" t="s">
        <v>299</v>
      </c>
      <c r="B102" t="s">
        <v>20</v>
      </c>
      <c r="C102">
        <v>102</v>
      </c>
    </row>
    <row r="103" spans="1:3" x14ac:dyDescent="0.25">
      <c r="A103" t="s">
        <v>300</v>
      </c>
      <c r="B103" t="s">
        <v>20</v>
      </c>
      <c r="C103">
        <v>103</v>
      </c>
    </row>
    <row r="104" spans="1:3" x14ac:dyDescent="0.25">
      <c r="A104" t="s">
        <v>301</v>
      </c>
      <c r="B104" t="s">
        <v>20</v>
      </c>
      <c r="C104">
        <v>104</v>
      </c>
    </row>
    <row r="105" spans="1:3" x14ac:dyDescent="0.25">
      <c r="A105" t="s">
        <v>303</v>
      </c>
      <c r="B105" t="s">
        <v>20</v>
      </c>
      <c r="C105">
        <v>105</v>
      </c>
    </row>
    <row r="106" spans="1:3" x14ac:dyDescent="0.25">
      <c r="A106" t="s">
        <v>307</v>
      </c>
      <c r="B106" t="s">
        <v>20</v>
      </c>
      <c r="C106">
        <v>106</v>
      </c>
    </row>
    <row r="107" spans="1:3" x14ac:dyDescent="0.25">
      <c r="A107" t="s">
        <v>308</v>
      </c>
      <c r="B107" t="s">
        <v>20</v>
      </c>
      <c r="C107">
        <v>107</v>
      </c>
    </row>
    <row r="108" spans="1:3" x14ac:dyDescent="0.25">
      <c r="A108" t="s">
        <v>310</v>
      </c>
      <c r="B108" t="s">
        <v>20</v>
      </c>
      <c r="C108">
        <v>108</v>
      </c>
    </row>
    <row r="109" spans="1:3" x14ac:dyDescent="0.25">
      <c r="A109" t="s">
        <v>315</v>
      </c>
      <c r="B109" t="s">
        <v>20</v>
      </c>
      <c r="C109">
        <v>109</v>
      </c>
    </row>
    <row r="110" spans="1:3" x14ac:dyDescent="0.25">
      <c r="A110" t="s">
        <v>317</v>
      </c>
      <c r="B110" t="s">
        <v>20</v>
      </c>
      <c r="C110">
        <v>110</v>
      </c>
    </row>
    <row r="111" spans="1:3" x14ac:dyDescent="0.25">
      <c r="A111" t="s">
        <v>319</v>
      </c>
      <c r="B111" t="s">
        <v>20</v>
      </c>
      <c r="C111">
        <v>111</v>
      </c>
    </row>
    <row r="112" spans="1:3" x14ac:dyDescent="0.25">
      <c r="A112" t="s">
        <v>327</v>
      </c>
      <c r="B112" t="s">
        <v>20</v>
      </c>
      <c r="C112">
        <v>112</v>
      </c>
    </row>
    <row r="113" spans="1:3" x14ac:dyDescent="0.25">
      <c r="A113" t="s">
        <v>329</v>
      </c>
      <c r="B113" t="s">
        <v>20</v>
      </c>
      <c r="C113">
        <v>113</v>
      </c>
    </row>
    <row r="114" spans="1:3" x14ac:dyDescent="0.25">
      <c r="A114" t="s">
        <v>340</v>
      </c>
      <c r="B114" t="s">
        <v>20</v>
      </c>
      <c r="C114">
        <v>114</v>
      </c>
    </row>
    <row r="115" spans="1:3" x14ac:dyDescent="0.25">
      <c r="A115" t="s">
        <v>342</v>
      </c>
      <c r="B115" t="s">
        <v>20</v>
      </c>
      <c r="C115">
        <v>115</v>
      </c>
    </row>
    <row r="116" spans="1:3" x14ac:dyDescent="0.25">
      <c r="A116" t="s">
        <v>347</v>
      </c>
      <c r="B116" t="s">
        <v>20</v>
      </c>
      <c r="C116">
        <v>116</v>
      </c>
    </row>
    <row r="117" spans="1:3" x14ac:dyDescent="0.25">
      <c r="A117" t="s">
        <v>348</v>
      </c>
      <c r="B117" t="s">
        <v>20</v>
      </c>
      <c r="C117">
        <v>117</v>
      </c>
    </row>
    <row r="118" spans="1:3" x14ac:dyDescent="0.25">
      <c r="A118" t="s">
        <v>349</v>
      </c>
      <c r="B118" t="s">
        <v>20</v>
      </c>
      <c r="C118">
        <v>118</v>
      </c>
    </row>
    <row r="119" spans="1:3" x14ac:dyDescent="0.25">
      <c r="A119" t="s">
        <v>353</v>
      </c>
      <c r="B119" t="s">
        <v>20</v>
      </c>
      <c r="C119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FB99-5173-48F2-9CE5-5C07FD4316DD}">
  <dimension ref="A1:D349"/>
  <sheetViews>
    <sheetView topLeftCell="A328" workbookViewId="0">
      <selection activeCell="A336" sqref="A336"/>
    </sheetView>
  </sheetViews>
  <sheetFormatPr defaultRowHeight="15" x14ac:dyDescent="0.25"/>
  <sheetData>
    <row r="1" spans="1:4" x14ac:dyDescent="0.25">
      <c r="A1" t="s">
        <v>2</v>
      </c>
      <c r="B1" t="s">
        <v>438</v>
      </c>
      <c r="C1" t="s">
        <v>437</v>
      </c>
      <c r="D1" t="s">
        <v>436</v>
      </c>
    </row>
    <row r="2" spans="1:4" x14ac:dyDescent="0.25">
      <c r="A2" t="s">
        <v>20</v>
      </c>
      <c r="B2">
        <v>1</v>
      </c>
      <c r="C2" t="s">
        <v>19</v>
      </c>
      <c r="D2" t="s">
        <v>21</v>
      </c>
    </row>
    <row r="3" spans="1:4" x14ac:dyDescent="0.25">
      <c r="A3" t="s">
        <v>20</v>
      </c>
      <c r="B3">
        <v>2</v>
      </c>
      <c r="C3" t="s">
        <v>48</v>
      </c>
      <c r="D3" t="s">
        <v>49</v>
      </c>
    </row>
    <row r="4" spans="1:4" x14ac:dyDescent="0.25">
      <c r="A4" t="s">
        <v>20</v>
      </c>
      <c r="B4">
        <v>3</v>
      </c>
      <c r="C4" t="s">
        <v>73</v>
      </c>
      <c r="D4" t="s">
        <v>74</v>
      </c>
    </row>
    <row r="5" spans="1:4" x14ac:dyDescent="0.25">
      <c r="A5" t="s">
        <v>20</v>
      </c>
      <c r="B5">
        <v>4</v>
      </c>
      <c r="C5" t="s">
        <v>46</v>
      </c>
      <c r="D5" t="s">
        <v>37</v>
      </c>
    </row>
    <row r="6" spans="1:4" x14ac:dyDescent="0.25">
      <c r="A6" t="s">
        <v>20</v>
      </c>
      <c r="B6">
        <v>5</v>
      </c>
      <c r="C6" t="s">
        <v>34</v>
      </c>
      <c r="D6" t="s">
        <v>35</v>
      </c>
    </row>
    <row r="7" spans="1:4" x14ac:dyDescent="0.25">
      <c r="A7" t="s">
        <v>20</v>
      </c>
      <c r="B7">
        <v>6</v>
      </c>
      <c r="C7" t="s">
        <v>30</v>
      </c>
      <c r="D7" t="s">
        <v>31</v>
      </c>
    </row>
    <row r="8" spans="1:4" x14ac:dyDescent="0.25">
      <c r="A8" t="s">
        <v>20</v>
      </c>
      <c r="B8">
        <v>7</v>
      </c>
      <c r="C8" t="s">
        <v>53</v>
      </c>
      <c r="D8" t="s">
        <v>24</v>
      </c>
    </row>
    <row r="9" spans="1:4" x14ac:dyDescent="0.25">
      <c r="A9" t="s">
        <v>20</v>
      </c>
      <c r="B9">
        <v>8</v>
      </c>
      <c r="C9" t="s">
        <v>38</v>
      </c>
      <c r="D9" t="s">
        <v>39</v>
      </c>
    </row>
    <row r="10" spans="1:4" x14ac:dyDescent="0.25">
      <c r="A10" t="s">
        <v>20</v>
      </c>
      <c r="B10">
        <v>9</v>
      </c>
      <c r="C10" t="s">
        <v>62</v>
      </c>
      <c r="D10" t="s">
        <v>361</v>
      </c>
    </row>
    <row r="11" spans="1:4" x14ac:dyDescent="0.25">
      <c r="A11" t="s">
        <v>20</v>
      </c>
      <c r="B11">
        <v>10</v>
      </c>
      <c r="C11" t="s">
        <v>99</v>
      </c>
      <c r="D11" t="s">
        <v>35</v>
      </c>
    </row>
    <row r="12" spans="1:4" x14ac:dyDescent="0.25">
      <c r="A12" t="s">
        <v>20</v>
      </c>
      <c r="B12">
        <v>11</v>
      </c>
      <c r="C12" t="s">
        <v>136</v>
      </c>
      <c r="D12" t="s">
        <v>96</v>
      </c>
    </row>
    <row r="13" spans="1:4" x14ac:dyDescent="0.25">
      <c r="A13" t="s">
        <v>20</v>
      </c>
      <c r="B13">
        <v>12</v>
      </c>
      <c r="C13" t="s">
        <v>125</v>
      </c>
      <c r="D13" t="s">
        <v>85</v>
      </c>
    </row>
    <row r="14" spans="1:4" x14ac:dyDescent="0.25">
      <c r="A14" t="s">
        <v>20</v>
      </c>
      <c r="B14">
        <v>13</v>
      </c>
      <c r="C14" t="s">
        <v>115</v>
      </c>
      <c r="D14" t="s">
        <v>33</v>
      </c>
    </row>
    <row r="15" spans="1:4" x14ac:dyDescent="0.25">
      <c r="A15" t="s">
        <v>20</v>
      </c>
      <c r="B15">
        <v>14</v>
      </c>
      <c r="C15" t="s">
        <v>91</v>
      </c>
      <c r="D15" t="s">
        <v>92</v>
      </c>
    </row>
    <row r="16" spans="1:4" x14ac:dyDescent="0.25">
      <c r="A16" t="s">
        <v>20</v>
      </c>
      <c r="B16">
        <v>15</v>
      </c>
      <c r="C16" t="s">
        <v>89</v>
      </c>
      <c r="D16" t="s">
        <v>90</v>
      </c>
    </row>
    <row r="17" spans="1:4" x14ac:dyDescent="0.25">
      <c r="A17" t="s">
        <v>20</v>
      </c>
      <c r="B17">
        <v>16</v>
      </c>
      <c r="C17" t="s">
        <v>42</v>
      </c>
      <c r="D17" t="s">
        <v>43</v>
      </c>
    </row>
    <row r="18" spans="1:4" x14ac:dyDescent="0.25">
      <c r="A18" t="s">
        <v>20</v>
      </c>
      <c r="B18">
        <v>17</v>
      </c>
      <c r="C18" t="s">
        <v>69</v>
      </c>
      <c r="D18" t="s">
        <v>21</v>
      </c>
    </row>
    <row r="19" spans="1:4" x14ac:dyDescent="0.25">
      <c r="A19" t="s">
        <v>20</v>
      </c>
      <c r="B19">
        <v>18</v>
      </c>
      <c r="C19" t="s">
        <v>118</v>
      </c>
      <c r="D19" t="s">
        <v>41</v>
      </c>
    </row>
    <row r="20" spans="1:4" x14ac:dyDescent="0.25">
      <c r="A20" t="s">
        <v>20</v>
      </c>
      <c r="B20">
        <v>19</v>
      </c>
      <c r="C20" t="s">
        <v>64</v>
      </c>
      <c r="D20" t="s">
        <v>65</v>
      </c>
    </row>
    <row r="21" spans="1:4" x14ac:dyDescent="0.25">
      <c r="A21" t="s">
        <v>20</v>
      </c>
      <c r="B21">
        <v>20</v>
      </c>
      <c r="C21" t="s">
        <v>119</v>
      </c>
      <c r="D21" t="s">
        <v>98</v>
      </c>
    </row>
    <row r="22" spans="1:4" x14ac:dyDescent="0.25">
      <c r="A22" t="s">
        <v>20</v>
      </c>
      <c r="B22">
        <v>21</v>
      </c>
      <c r="C22" t="s">
        <v>102</v>
      </c>
      <c r="D22" t="s">
        <v>57</v>
      </c>
    </row>
    <row r="23" spans="1:4" x14ac:dyDescent="0.25">
      <c r="A23" t="s">
        <v>20</v>
      </c>
      <c r="B23">
        <v>22</v>
      </c>
      <c r="C23" t="s">
        <v>82</v>
      </c>
      <c r="D23" t="s">
        <v>80</v>
      </c>
    </row>
    <row r="24" spans="1:4" x14ac:dyDescent="0.25">
      <c r="A24" t="s">
        <v>20</v>
      </c>
      <c r="B24">
        <v>23</v>
      </c>
      <c r="C24" t="s">
        <v>294</v>
      </c>
      <c r="D24" t="s">
        <v>110</v>
      </c>
    </row>
    <row r="25" spans="1:4" x14ac:dyDescent="0.25">
      <c r="A25" t="s">
        <v>20</v>
      </c>
      <c r="B25">
        <v>24</v>
      </c>
      <c r="C25" t="s">
        <v>87</v>
      </c>
      <c r="D25" t="s">
        <v>49</v>
      </c>
    </row>
    <row r="26" spans="1:4" x14ac:dyDescent="0.25">
      <c r="A26" t="s">
        <v>20</v>
      </c>
      <c r="B26">
        <v>25</v>
      </c>
      <c r="C26" t="s">
        <v>75</v>
      </c>
      <c r="D26" t="s">
        <v>26</v>
      </c>
    </row>
    <row r="27" spans="1:4" x14ac:dyDescent="0.25">
      <c r="A27" t="s">
        <v>20</v>
      </c>
      <c r="B27">
        <v>26</v>
      </c>
      <c r="C27" t="s">
        <v>109</v>
      </c>
      <c r="D27" t="s">
        <v>68</v>
      </c>
    </row>
    <row r="28" spans="1:4" x14ac:dyDescent="0.25">
      <c r="A28" t="s">
        <v>20</v>
      </c>
      <c r="B28">
        <v>27</v>
      </c>
      <c r="C28" t="s">
        <v>101</v>
      </c>
      <c r="D28" t="s">
        <v>37</v>
      </c>
    </row>
    <row r="29" spans="1:4" x14ac:dyDescent="0.25">
      <c r="A29" t="s">
        <v>20</v>
      </c>
      <c r="B29">
        <v>28</v>
      </c>
      <c r="C29" t="s">
        <v>348</v>
      </c>
      <c r="D29" t="s">
        <v>61</v>
      </c>
    </row>
    <row r="30" spans="1:4" x14ac:dyDescent="0.25">
      <c r="A30" t="s">
        <v>20</v>
      </c>
      <c r="B30">
        <v>29</v>
      </c>
      <c r="C30" t="s">
        <v>126</v>
      </c>
      <c r="D30" t="s">
        <v>110</v>
      </c>
    </row>
    <row r="31" spans="1:4" x14ac:dyDescent="0.25">
      <c r="A31" t="s">
        <v>20</v>
      </c>
      <c r="B31">
        <v>30</v>
      </c>
      <c r="C31" t="s">
        <v>435</v>
      </c>
      <c r="D31" t="s">
        <v>114</v>
      </c>
    </row>
    <row r="32" spans="1:4" x14ac:dyDescent="0.25">
      <c r="A32" t="s">
        <v>20</v>
      </c>
      <c r="B32">
        <v>31</v>
      </c>
      <c r="C32" t="s">
        <v>83</v>
      </c>
      <c r="D32" t="s">
        <v>45</v>
      </c>
    </row>
    <row r="33" spans="1:4" x14ac:dyDescent="0.25">
      <c r="A33" t="s">
        <v>20</v>
      </c>
      <c r="B33">
        <v>32</v>
      </c>
      <c r="C33" t="s">
        <v>226</v>
      </c>
      <c r="D33" t="s">
        <v>55</v>
      </c>
    </row>
    <row r="34" spans="1:4" x14ac:dyDescent="0.25">
      <c r="A34" t="s">
        <v>20</v>
      </c>
      <c r="B34">
        <v>33</v>
      </c>
      <c r="C34" t="s">
        <v>97</v>
      </c>
      <c r="D34" t="s">
        <v>98</v>
      </c>
    </row>
    <row r="35" spans="1:4" x14ac:dyDescent="0.25">
      <c r="A35" t="s">
        <v>20</v>
      </c>
      <c r="B35">
        <v>34</v>
      </c>
      <c r="C35" t="s">
        <v>107</v>
      </c>
      <c r="D35" t="s">
        <v>108</v>
      </c>
    </row>
    <row r="36" spans="1:4" x14ac:dyDescent="0.25">
      <c r="A36" t="s">
        <v>20</v>
      </c>
      <c r="B36">
        <v>35</v>
      </c>
      <c r="C36" t="s">
        <v>156</v>
      </c>
      <c r="D36" t="s">
        <v>57</v>
      </c>
    </row>
    <row r="37" spans="1:4" x14ac:dyDescent="0.25">
      <c r="A37" t="s">
        <v>20</v>
      </c>
      <c r="B37">
        <v>36</v>
      </c>
      <c r="C37" t="s">
        <v>155</v>
      </c>
      <c r="D37" t="s">
        <v>108</v>
      </c>
    </row>
    <row r="38" spans="1:4" x14ac:dyDescent="0.25">
      <c r="A38" t="s">
        <v>20</v>
      </c>
      <c r="B38">
        <v>37</v>
      </c>
      <c r="C38" t="s">
        <v>247</v>
      </c>
      <c r="D38" t="s">
        <v>45</v>
      </c>
    </row>
    <row r="39" spans="1:4" x14ac:dyDescent="0.25">
      <c r="A39" t="s">
        <v>20</v>
      </c>
      <c r="B39">
        <v>38</v>
      </c>
      <c r="C39" t="s">
        <v>434</v>
      </c>
      <c r="D39" t="s">
        <v>96</v>
      </c>
    </row>
    <row r="40" spans="1:4" x14ac:dyDescent="0.25">
      <c r="A40" t="s">
        <v>20</v>
      </c>
      <c r="B40">
        <v>39</v>
      </c>
      <c r="C40" t="s">
        <v>50</v>
      </c>
      <c r="D40" t="s">
        <v>51</v>
      </c>
    </row>
    <row r="41" spans="1:4" x14ac:dyDescent="0.25">
      <c r="A41" t="s">
        <v>20</v>
      </c>
      <c r="B41">
        <v>40</v>
      </c>
      <c r="C41" t="s">
        <v>209</v>
      </c>
      <c r="D41" t="s">
        <v>114</v>
      </c>
    </row>
    <row r="42" spans="1:4" x14ac:dyDescent="0.25">
      <c r="A42" t="s">
        <v>20</v>
      </c>
      <c r="B42">
        <v>41</v>
      </c>
      <c r="C42" t="s">
        <v>139</v>
      </c>
      <c r="D42" t="s">
        <v>51</v>
      </c>
    </row>
    <row r="43" spans="1:4" x14ac:dyDescent="0.25">
      <c r="A43" t="s">
        <v>20</v>
      </c>
      <c r="B43">
        <v>42</v>
      </c>
      <c r="C43" t="s">
        <v>433</v>
      </c>
      <c r="D43" t="s">
        <v>33</v>
      </c>
    </row>
    <row r="44" spans="1:4" x14ac:dyDescent="0.25">
      <c r="A44" t="s">
        <v>20</v>
      </c>
      <c r="B44">
        <v>43</v>
      </c>
      <c r="C44" t="s">
        <v>349</v>
      </c>
      <c r="D44" t="s">
        <v>51</v>
      </c>
    </row>
    <row r="45" spans="1:4" x14ac:dyDescent="0.25">
      <c r="A45" t="s">
        <v>20</v>
      </c>
      <c r="B45">
        <v>44</v>
      </c>
      <c r="C45" t="s">
        <v>164</v>
      </c>
      <c r="D45" t="s">
        <v>55</v>
      </c>
    </row>
    <row r="46" spans="1:4" x14ac:dyDescent="0.25">
      <c r="A46" t="s">
        <v>20</v>
      </c>
      <c r="B46">
        <v>45</v>
      </c>
      <c r="C46" t="s">
        <v>111</v>
      </c>
      <c r="D46" t="s">
        <v>26</v>
      </c>
    </row>
    <row r="47" spans="1:4" x14ac:dyDescent="0.25">
      <c r="A47" t="s">
        <v>20</v>
      </c>
      <c r="B47">
        <v>46</v>
      </c>
      <c r="C47" t="s">
        <v>149</v>
      </c>
      <c r="D47" t="s">
        <v>31</v>
      </c>
    </row>
    <row r="48" spans="1:4" x14ac:dyDescent="0.25">
      <c r="A48" t="s">
        <v>20</v>
      </c>
      <c r="B48">
        <v>47</v>
      </c>
      <c r="C48" t="s">
        <v>229</v>
      </c>
      <c r="D48" t="s">
        <v>65</v>
      </c>
    </row>
    <row r="49" spans="1:4" x14ac:dyDescent="0.25">
      <c r="A49" t="s">
        <v>20</v>
      </c>
      <c r="B49">
        <v>48</v>
      </c>
      <c r="C49" t="s">
        <v>175</v>
      </c>
      <c r="D49" t="s">
        <v>61</v>
      </c>
    </row>
    <row r="50" spans="1:4" x14ac:dyDescent="0.25">
      <c r="A50" t="s">
        <v>20</v>
      </c>
      <c r="B50">
        <v>49</v>
      </c>
      <c r="C50" t="s">
        <v>154</v>
      </c>
      <c r="D50" t="s">
        <v>68</v>
      </c>
    </row>
    <row r="51" spans="1:4" x14ac:dyDescent="0.25">
      <c r="A51" t="s">
        <v>20</v>
      </c>
      <c r="B51">
        <v>50</v>
      </c>
      <c r="C51" t="s">
        <v>178</v>
      </c>
      <c r="D51" t="s">
        <v>39</v>
      </c>
    </row>
    <row r="52" spans="1:4" x14ac:dyDescent="0.25">
      <c r="A52" t="s">
        <v>20</v>
      </c>
      <c r="B52">
        <v>51</v>
      </c>
      <c r="C52" t="s">
        <v>84</v>
      </c>
      <c r="D52" t="s">
        <v>85</v>
      </c>
    </row>
    <row r="53" spans="1:4" x14ac:dyDescent="0.25">
      <c r="A53" t="s">
        <v>20</v>
      </c>
      <c r="B53">
        <v>52</v>
      </c>
      <c r="C53" t="s">
        <v>432</v>
      </c>
      <c r="D53" t="s">
        <v>132</v>
      </c>
    </row>
    <row r="54" spans="1:4" x14ac:dyDescent="0.25">
      <c r="A54" t="s">
        <v>20</v>
      </c>
      <c r="B54">
        <v>53</v>
      </c>
      <c r="C54" t="s">
        <v>192</v>
      </c>
      <c r="D54" t="s">
        <v>361</v>
      </c>
    </row>
    <row r="55" spans="1:4" x14ac:dyDescent="0.25">
      <c r="A55" t="s">
        <v>20</v>
      </c>
      <c r="B55">
        <v>54</v>
      </c>
      <c r="C55" t="s">
        <v>245</v>
      </c>
      <c r="D55" t="s">
        <v>92</v>
      </c>
    </row>
    <row r="56" spans="1:4" x14ac:dyDescent="0.25">
      <c r="A56" t="s">
        <v>20</v>
      </c>
      <c r="B56">
        <v>55</v>
      </c>
      <c r="C56" t="s">
        <v>121</v>
      </c>
      <c r="D56" t="s">
        <v>61</v>
      </c>
    </row>
    <row r="57" spans="1:4" x14ac:dyDescent="0.25">
      <c r="A57" t="s">
        <v>20</v>
      </c>
      <c r="B57">
        <v>56</v>
      </c>
      <c r="C57" t="s">
        <v>152</v>
      </c>
      <c r="D57" t="s">
        <v>31</v>
      </c>
    </row>
    <row r="58" spans="1:4" x14ac:dyDescent="0.25">
      <c r="A58" t="s">
        <v>20</v>
      </c>
      <c r="B58">
        <v>57</v>
      </c>
      <c r="C58" t="s">
        <v>172</v>
      </c>
      <c r="D58" t="s">
        <v>74</v>
      </c>
    </row>
    <row r="59" spans="1:4" x14ac:dyDescent="0.25">
      <c r="A59" t="s">
        <v>20</v>
      </c>
      <c r="B59">
        <v>58</v>
      </c>
      <c r="C59" t="s">
        <v>131</v>
      </c>
      <c r="D59" t="s">
        <v>132</v>
      </c>
    </row>
    <row r="60" spans="1:4" x14ac:dyDescent="0.25">
      <c r="A60" t="s">
        <v>20</v>
      </c>
      <c r="B60">
        <v>59</v>
      </c>
      <c r="C60" t="s">
        <v>431</v>
      </c>
      <c r="D60" t="s">
        <v>90</v>
      </c>
    </row>
    <row r="61" spans="1:4" x14ac:dyDescent="0.25">
      <c r="A61" t="s">
        <v>20</v>
      </c>
      <c r="B61">
        <v>60</v>
      </c>
      <c r="C61" t="s">
        <v>430</v>
      </c>
      <c r="D61" t="s">
        <v>132</v>
      </c>
    </row>
    <row r="62" spans="1:4" x14ac:dyDescent="0.25">
      <c r="A62" t="s">
        <v>20</v>
      </c>
      <c r="B62">
        <v>61</v>
      </c>
      <c r="C62" t="s">
        <v>123</v>
      </c>
      <c r="D62" t="s">
        <v>51</v>
      </c>
    </row>
    <row r="63" spans="1:4" x14ac:dyDescent="0.25">
      <c r="A63" t="s">
        <v>20</v>
      </c>
      <c r="B63">
        <v>62</v>
      </c>
      <c r="C63" t="s">
        <v>429</v>
      </c>
      <c r="D63" t="s">
        <v>57</v>
      </c>
    </row>
    <row r="64" spans="1:4" x14ac:dyDescent="0.25">
      <c r="A64" t="s">
        <v>20</v>
      </c>
      <c r="B64">
        <v>63</v>
      </c>
      <c r="C64" t="s">
        <v>307</v>
      </c>
      <c r="D64" t="s">
        <v>90</v>
      </c>
    </row>
    <row r="65" spans="1:4" x14ac:dyDescent="0.25">
      <c r="A65" t="s">
        <v>20</v>
      </c>
      <c r="B65">
        <v>64</v>
      </c>
      <c r="C65" t="s">
        <v>210</v>
      </c>
      <c r="D65" t="s">
        <v>65</v>
      </c>
    </row>
    <row r="66" spans="1:4" x14ac:dyDescent="0.25">
      <c r="A66" t="s">
        <v>20</v>
      </c>
      <c r="B66">
        <v>65</v>
      </c>
      <c r="C66" t="s">
        <v>317</v>
      </c>
      <c r="D66" t="s">
        <v>29</v>
      </c>
    </row>
    <row r="67" spans="1:4" x14ac:dyDescent="0.25">
      <c r="A67" t="s">
        <v>20</v>
      </c>
      <c r="B67">
        <v>66</v>
      </c>
      <c r="C67" t="s">
        <v>243</v>
      </c>
      <c r="D67" t="s">
        <v>98</v>
      </c>
    </row>
    <row r="68" spans="1:4" x14ac:dyDescent="0.25">
      <c r="A68" t="s">
        <v>20</v>
      </c>
      <c r="B68">
        <v>67</v>
      </c>
      <c r="C68" t="s">
        <v>300</v>
      </c>
      <c r="D68" t="s">
        <v>361</v>
      </c>
    </row>
    <row r="69" spans="1:4" x14ac:dyDescent="0.25">
      <c r="A69" t="s">
        <v>20</v>
      </c>
      <c r="B69">
        <v>68</v>
      </c>
      <c r="C69" t="s">
        <v>319</v>
      </c>
      <c r="D69" t="s">
        <v>35</v>
      </c>
    </row>
    <row r="70" spans="1:4" x14ac:dyDescent="0.25">
      <c r="A70" t="s">
        <v>20</v>
      </c>
      <c r="B70">
        <v>69</v>
      </c>
      <c r="C70" t="s">
        <v>135</v>
      </c>
      <c r="D70" t="s">
        <v>375</v>
      </c>
    </row>
    <row r="71" spans="1:4" x14ac:dyDescent="0.25">
      <c r="A71" t="s">
        <v>20</v>
      </c>
      <c r="B71">
        <v>70</v>
      </c>
      <c r="C71" t="s">
        <v>113</v>
      </c>
      <c r="D71" t="s">
        <v>114</v>
      </c>
    </row>
    <row r="72" spans="1:4" x14ac:dyDescent="0.25">
      <c r="A72" t="s">
        <v>20</v>
      </c>
      <c r="B72">
        <v>71</v>
      </c>
      <c r="C72" t="s">
        <v>428</v>
      </c>
      <c r="D72" t="s">
        <v>39</v>
      </c>
    </row>
    <row r="73" spans="1:4" x14ac:dyDescent="0.25">
      <c r="A73" t="s">
        <v>20</v>
      </c>
      <c r="B73">
        <v>72</v>
      </c>
      <c r="C73" t="s">
        <v>201</v>
      </c>
      <c r="D73" t="s">
        <v>37</v>
      </c>
    </row>
    <row r="74" spans="1:4" x14ac:dyDescent="0.25">
      <c r="A74" t="s">
        <v>20</v>
      </c>
      <c r="B74">
        <v>73</v>
      </c>
      <c r="C74" t="s">
        <v>218</v>
      </c>
      <c r="D74" t="s">
        <v>43</v>
      </c>
    </row>
    <row r="75" spans="1:4" x14ac:dyDescent="0.25">
      <c r="A75" t="s">
        <v>20</v>
      </c>
      <c r="B75">
        <v>74</v>
      </c>
      <c r="C75" t="s">
        <v>124</v>
      </c>
      <c r="D75" t="s">
        <v>375</v>
      </c>
    </row>
    <row r="76" spans="1:4" x14ac:dyDescent="0.25">
      <c r="A76" t="s">
        <v>20</v>
      </c>
      <c r="B76">
        <v>75</v>
      </c>
      <c r="C76" t="s">
        <v>227</v>
      </c>
      <c r="D76" t="s">
        <v>98</v>
      </c>
    </row>
    <row r="77" spans="1:4" x14ac:dyDescent="0.25">
      <c r="A77" t="s">
        <v>20</v>
      </c>
      <c r="B77">
        <v>76</v>
      </c>
      <c r="C77" t="s">
        <v>347</v>
      </c>
      <c r="D77" t="s">
        <v>114</v>
      </c>
    </row>
    <row r="78" spans="1:4" x14ac:dyDescent="0.25">
      <c r="A78" t="s">
        <v>20</v>
      </c>
      <c r="B78">
        <v>77</v>
      </c>
      <c r="C78" t="s">
        <v>256</v>
      </c>
      <c r="D78" t="s">
        <v>59</v>
      </c>
    </row>
    <row r="79" spans="1:4" x14ac:dyDescent="0.25">
      <c r="A79" t="s">
        <v>20</v>
      </c>
      <c r="B79">
        <v>78</v>
      </c>
      <c r="C79" t="s">
        <v>427</v>
      </c>
      <c r="D79" t="s">
        <v>26</v>
      </c>
    </row>
    <row r="80" spans="1:4" x14ac:dyDescent="0.25">
      <c r="A80" t="s">
        <v>20</v>
      </c>
      <c r="B80">
        <v>79</v>
      </c>
      <c r="C80" t="s">
        <v>310</v>
      </c>
      <c r="D80" t="s">
        <v>33</v>
      </c>
    </row>
    <row r="81" spans="1:4" x14ac:dyDescent="0.25">
      <c r="A81" t="s">
        <v>20</v>
      </c>
      <c r="B81">
        <v>80</v>
      </c>
      <c r="C81" t="s">
        <v>263</v>
      </c>
      <c r="D81" t="s">
        <v>29</v>
      </c>
    </row>
    <row r="82" spans="1:4" x14ac:dyDescent="0.25">
      <c r="A82" t="s">
        <v>20</v>
      </c>
      <c r="B82">
        <v>81</v>
      </c>
      <c r="C82" t="s">
        <v>426</v>
      </c>
      <c r="D82" t="s">
        <v>80</v>
      </c>
    </row>
    <row r="83" spans="1:4" x14ac:dyDescent="0.25">
      <c r="A83" t="s">
        <v>20</v>
      </c>
      <c r="B83">
        <v>82</v>
      </c>
      <c r="C83" t="s">
        <v>425</v>
      </c>
      <c r="D83" t="s">
        <v>26</v>
      </c>
    </row>
    <row r="84" spans="1:4" x14ac:dyDescent="0.25">
      <c r="A84" t="s">
        <v>20</v>
      </c>
      <c r="B84">
        <v>83</v>
      </c>
      <c r="C84" t="s">
        <v>424</v>
      </c>
      <c r="D84" t="s">
        <v>108</v>
      </c>
    </row>
    <row r="85" spans="1:4" x14ac:dyDescent="0.25">
      <c r="A85" t="s">
        <v>20</v>
      </c>
      <c r="B85">
        <v>84</v>
      </c>
      <c r="C85" t="s">
        <v>145</v>
      </c>
      <c r="D85" t="s">
        <v>74</v>
      </c>
    </row>
    <row r="86" spans="1:4" x14ac:dyDescent="0.25">
      <c r="A86" t="s">
        <v>20</v>
      </c>
      <c r="B86">
        <v>85</v>
      </c>
      <c r="C86" t="s">
        <v>423</v>
      </c>
      <c r="D86" t="s">
        <v>39</v>
      </c>
    </row>
    <row r="87" spans="1:4" x14ac:dyDescent="0.25">
      <c r="A87" t="s">
        <v>20</v>
      </c>
      <c r="B87">
        <v>86</v>
      </c>
      <c r="C87" t="s">
        <v>422</v>
      </c>
      <c r="D87" t="s">
        <v>57</v>
      </c>
    </row>
    <row r="88" spans="1:4" x14ac:dyDescent="0.25">
      <c r="A88" t="s">
        <v>20</v>
      </c>
      <c r="B88">
        <v>87</v>
      </c>
      <c r="C88" t="s">
        <v>231</v>
      </c>
      <c r="D88" t="s">
        <v>114</v>
      </c>
    </row>
    <row r="89" spans="1:4" x14ac:dyDescent="0.25">
      <c r="A89" t="s">
        <v>20</v>
      </c>
      <c r="B89">
        <v>88</v>
      </c>
      <c r="C89" t="s">
        <v>206</v>
      </c>
      <c r="D89" t="s">
        <v>41</v>
      </c>
    </row>
    <row r="90" spans="1:4" x14ac:dyDescent="0.25">
      <c r="A90" t="s">
        <v>20</v>
      </c>
      <c r="B90">
        <v>89</v>
      </c>
      <c r="C90" t="s">
        <v>421</v>
      </c>
      <c r="D90" t="s">
        <v>24</v>
      </c>
    </row>
    <row r="91" spans="1:4" x14ac:dyDescent="0.25">
      <c r="A91" t="s">
        <v>20</v>
      </c>
      <c r="B91">
        <v>90</v>
      </c>
      <c r="C91" t="s">
        <v>81</v>
      </c>
      <c r="D91" t="s">
        <v>375</v>
      </c>
    </row>
    <row r="92" spans="1:4" x14ac:dyDescent="0.25">
      <c r="A92" t="s">
        <v>20</v>
      </c>
      <c r="B92">
        <v>91</v>
      </c>
      <c r="C92" t="s">
        <v>253</v>
      </c>
      <c r="D92" t="s">
        <v>29</v>
      </c>
    </row>
    <row r="93" spans="1:4" x14ac:dyDescent="0.25">
      <c r="A93" t="s">
        <v>20</v>
      </c>
      <c r="B93">
        <v>92</v>
      </c>
      <c r="C93" t="s">
        <v>177</v>
      </c>
      <c r="D93" t="s">
        <v>26</v>
      </c>
    </row>
    <row r="94" spans="1:4" x14ac:dyDescent="0.25">
      <c r="A94" t="s">
        <v>20</v>
      </c>
      <c r="B94">
        <v>93</v>
      </c>
      <c r="C94" t="s">
        <v>148</v>
      </c>
      <c r="D94" t="s">
        <v>68</v>
      </c>
    </row>
    <row r="95" spans="1:4" x14ac:dyDescent="0.25">
      <c r="A95" t="s">
        <v>20</v>
      </c>
      <c r="B95">
        <v>94</v>
      </c>
      <c r="C95" t="s">
        <v>420</v>
      </c>
      <c r="D95" t="s">
        <v>59</v>
      </c>
    </row>
    <row r="96" spans="1:4" x14ac:dyDescent="0.25">
      <c r="A96" t="s">
        <v>20</v>
      </c>
      <c r="B96">
        <v>95</v>
      </c>
      <c r="C96" t="s">
        <v>419</v>
      </c>
      <c r="D96" t="s">
        <v>41</v>
      </c>
    </row>
    <row r="97" spans="1:4" x14ac:dyDescent="0.25">
      <c r="A97" t="s">
        <v>20</v>
      </c>
      <c r="B97">
        <v>96</v>
      </c>
      <c r="C97" t="s">
        <v>237</v>
      </c>
      <c r="D97" t="s">
        <v>74</v>
      </c>
    </row>
    <row r="98" spans="1:4" x14ac:dyDescent="0.25">
      <c r="A98" t="s">
        <v>20</v>
      </c>
      <c r="B98">
        <v>97</v>
      </c>
      <c r="C98" t="s">
        <v>418</v>
      </c>
      <c r="D98" t="s">
        <v>43</v>
      </c>
    </row>
    <row r="99" spans="1:4" x14ac:dyDescent="0.25">
      <c r="A99" t="s">
        <v>20</v>
      </c>
      <c r="B99">
        <v>98</v>
      </c>
      <c r="C99" t="s">
        <v>187</v>
      </c>
      <c r="D99" t="s">
        <v>98</v>
      </c>
    </row>
    <row r="100" spans="1:4" x14ac:dyDescent="0.25">
      <c r="A100" t="s">
        <v>20</v>
      </c>
      <c r="B100">
        <v>99</v>
      </c>
      <c r="C100" t="s">
        <v>246</v>
      </c>
      <c r="D100" t="s">
        <v>43</v>
      </c>
    </row>
    <row r="101" spans="1:4" x14ac:dyDescent="0.25">
      <c r="A101" t="s">
        <v>20</v>
      </c>
      <c r="B101">
        <v>100</v>
      </c>
      <c r="C101" t="s">
        <v>417</v>
      </c>
      <c r="D101" t="s">
        <v>92</v>
      </c>
    </row>
    <row r="102" spans="1:4" x14ac:dyDescent="0.25">
      <c r="A102" t="s">
        <v>20</v>
      </c>
      <c r="B102">
        <v>101</v>
      </c>
      <c r="C102" t="s">
        <v>308</v>
      </c>
      <c r="D102" t="s">
        <v>85</v>
      </c>
    </row>
    <row r="103" spans="1:4" x14ac:dyDescent="0.25">
      <c r="A103" t="s">
        <v>20</v>
      </c>
      <c r="B103">
        <v>102</v>
      </c>
      <c r="C103" t="s">
        <v>197</v>
      </c>
      <c r="D103" t="s">
        <v>92</v>
      </c>
    </row>
    <row r="104" spans="1:4" x14ac:dyDescent="0.25">
      <c r="A104" t="s">
        <v>20</v>
      </c>
      <c r="B104">
        <v>103</v>
      </c>
      <c r="C104" t="s">
        <v>327</v>
      </c>
      <c r="D104" t="s">
        <v>96</v>
      </c>
    </row>
    <row r="105" spans="1:4" x14ac:dyDescent="0.25">
      <c r="A105" t="s">
        <v>20</v>
      </c>
      <c r="B105">
        <v>104</v>
      </c>
      <c r="C105" t="s">
        <v>281</v>
      </c>
      <c r="D105" t="s">
        <v>361</v>
      </c>
    </row>
    <row r="106" spans="1:4" x14ac:dyDescent="0.25">
      <c r="A106" t="s">
        <v>20</v>
      </c>
      <c r="B106">
        <v>105</v>
      </c>
      <c r="C106" t="s">
        <v>168</v>
      </c>
      <c r="D106" t="s">
        <v>65</v>
      </c>
    </row>
    <row r="107" spans="1:4" x14ac:dyDescent="0.25">
      <c r="A107" t="s">
        <v>20</v>
      </c>
      <c r="B107">
        <v>106</v>
      </c>
      <c r="C107" t="s">
        <v>215</v>
      </c>
      <c r="D107" t="s">
        <v>361</v>
      </c>
    </row>
    <row r="108" spans="1:4" x14ac:dyDescent="0.25">
      <c r="A108" t="s">
        <v>20</v>
      </c>
      <c r="B108">
        <v>107</v>
      </c>
      <c r="C108" t="s">
        <v>204</v>
      </c>
      <c r="D108" t="s">
        <v>33</v>
      </c>
    </row>
    <row r="109" spans="1:4" x14ac:dyDescent="0.25">
      <c r="A109" t="s">
        <v>20</v>
      </c>
      <c r="B109">
        <v>108</v>
      </c>
      <c r="C109" t="s">
        <v>297</v>
      </c>
      <c r="D109" t="s">
        <v>132</v>
      </c>
    </row>
    <row r="110" spans="1:4" x14ac:dyDescent="0.25">
      <c r="A110" t="s">
        <v>20</v>
      </c>
      <c r="B110">
        <v>109</v>
      </c>
      <c r="C110" t="s">
        <v>416</v>
      </c>
      <c r="D110" t="s">
        <v>68</v>
      </c>
    </row>
    <row r="111" spans="1:4" x14ac:dyDescent="0.25">
      <c r="A111" t="s">
        <v>20</v>
      </c>
      <c r="B111">
        <v>110</v>
      </c>
      <c r="C111" t="s">
        <v>415</v>
      </c>
      <c r="D111" t="s">
        <v>41</v>
      </c>
    </row>
    <row r="112" spans="1:4" x14ac:dyDescent="0.25">
      <c r="A112" t="s">
        <v>20</v>
      </c>
      <c r="B112">
        <v>111</v>
      </c>
      <c r="C112" t="s">
        <v>244</v>
      </c>
      <c r="D112" t="s">
        <v>21</v>
      </c>
    </row>
    <row r="113" spans="1:4" x14ac:dyDescent="0.25">
      <c r="A113" t="s">
        <v>20</v>
      </c>
      <c r="B113">
        <v>112</v>
      </c>
      <c r="C113" t="s">
        <v>194</v>
      </c>
      <c r="D113" t="s">
        <v>132</v>
      </c>
    </row>
    <row r="114" spans="1:4" x14ac:dyDescent="0.25">
      <c r="A114" t="s">
        <v>20</v>
      </c>
      <c r="B114">
        <v>113</v>
      </c>
      <c r="C114" t="s">
        <v>414</v>
      </c>
      <c r="D114" t="s">
        <v>85</v>
      </c>
    </row>
    <row r="115" spans="1:4" x14ac:dyDescent="0.25">
      <c r="A115" t="s">
        <v>20</v>
      </c>
      <c r="B115">
        <v>114</v>
      </c>
      <c r="C115" t="s">
        <v>271</v>
      </c>
      <c r="D115" t="s">
        <v>57</v>
      </c>
    </row>
    <row r="116" spans="1:4" x14ac:dyDescent="0.25">
      <c r="A116" t="s">
        <v>20</v>
      </c>
      <c r="B116">
        <v>115</v>
      </c>
      <c r="C116" t="s">
        <v>272</v>
      </c>
      <c r="D116" t="s">
        <v>80</v>
      </c>
    </row>
    <row r="117" spans="1:4" x14ac:dyDescent="0.25">
      <c r="A117" t="s">
        <v>20</v>
      </c>
      <c r="B117">
        <v>116</v>
      </c>
      <c r="C117" t="s">
        <v>258</v>
      </c>
      <c r="D117" t="s">
        <v>43</v>
      </c>
    </row>
    <row r="118" spans="1:4" x14ac:dyDescent="0.25">
      <c r="A118" t="s">
        <v>20</v>
      </c>
      <c r="B118">
        <v>117</v>
      </c>
      <c r="C118" t="s">
        <v>413</v>
      </c>
      <c r="D118" t="s">
        <v>49</v>
      </c>
    </row>
    <row r="119" spans="1:4" x14ac:dyDescent="0.25">
      <c r="A119" t="s">
        <v>20</v>
      </c>
      <c r="B119">
        <v>118</v>
      </c>
      <c r="C119" t="s">
        <v>275</v>
      </c>
      <c r="D119" t="s">
        <v>24</v>
      </c>
    </row>
    <row r="120" spans="1:4" x14ac:dyDescent="0.25">
      <c r="A120" t="s">
        <v>20</v>
      </c>
      <c r="B120">
        <v>119</v>
      </c>
      <c r="C120" t="s">
        <v>276</v>
      </c>
      <c r="D120" t="s">
        <v>24</v>
      </c>
    </row>
    <row r="121" spans="1:4" x14ac:dyDescent="0.25">
      <c r="A121" t="s">
        <v>20</v>
      </c>
      <c r="B121">
        <v>120</v>
      </c>
      <c r="C121" t="s">
        <v>273</v>
      </c>
      <c r="D121" t="s">
        <v>59</v>
      </c>
    </row>
    <row r="122" spans="1:4" x14ac:dyDescent="0.25">
      <c r="A122" t="s">
        <v>20</v>
      </c>
      <c r="B122">
        <v>121</v>
      </c>
      <c r="C122" t="s">
        <v>412</v>
      </c>
      <c r="D122" t="s">
        <v>59</v>
      </c>
    </row>
    <row r="123" spans="1:4" x14ac:dyDescent="0.25">
      <c r="A123" t="s">
        <v>20</v>
      </c>
      <c r="B123">
        <v>122</v>
      </c>
      <c r="C123" t="s">
        <v>190</v>
      </c>
      <c r="D123" t="s">
        <v>68</v>
      </c>
    </row>
    <row r="124" spans="1:4" x14ac:dyDescent="0.25">
      <c r="A124" t="s">
        <v>20</v>
      </c>
      <c r="B124">
        <v>123</v>
      </c>
      <c r="C124" t="s">
        <v>184</v>
      </c>
      <c r="D124" t="s">
        <v>361</v>
      </c>
    </row>
    <row r="125" spans="1:4" x14ac:dyDescent="0.25">
      <c r="A125" t="s">
        <v>20</v>
      </c>
      <c r="B125">
        <v>124</v>
      </c>
      <c r="C125" t="s">
        <v>411</v>
      </c>
      <c r="D125" t="s">
        <v>29</v>
      </c>
    </row>
    <row r="126" spans="1:4" x14ac:dyDescent="0.25">
      <c r="A126" t="s">
        <v>20</v>
      </c>
      <c r="B126">
        <v>125</v>
      </c>
      <c r="C126" t="s">
        <v>282</v>
      </c>
      <c r="D126" t="s">
        <v>39</v>
      </c>
    </row>
    <row r="127" spans="1:4" x14ac:dyDescent="0.25">
      <c r="A127" t="s">
        <v>20</v>
      </c>
      <c r="B127">
        <v>126</v>
      </c>
      <c r="C127" t="s">
        <v>410</v>
      </c>
      <c r="D127" t="s">
        <v>65</v>
      </c>
    </row>
    <row r="128" spans="1:4" x14ac:dyDescent="0.25">
      <c r="A128" t="s">
        <v>20</v>
      </c>
      <c r="B128">
        <v>127</v>
      </c>
      <c r="C128" t="s">
        <v>301</v>
      </c>
      <c r="D128" t="s">
        <v>45</v>
      </c>
    </row>
    <row r="129" spans="1:4" x14ac:dyDescent="0.25">
      <c r="A129" t="s">
        <v>20</v>
      </c>
      <c r="B129">
        <v>128</v>
      </c>
      <c r="C129" t="s">
        <v>409</v>
      </c>
      <c r="D129" t="s">
        <v>96</v>
      </c>
    </row>
    <row r="130" spans="1:4" x14ac:dyDescent="0.25">
      <c r="A130" t="s">
        <v>20</v>
      </c>
      <c r="B130">
        <v>129</v>
      </c>
      <c r="C130" t="s">
        <v>295</v>
      </c>
      <c r="D130" t="s">
        <v>92</v>
      </c>
    </row>
    <row r="131" spans="1:4" x14ac:dyDescent="0.25">
      <c r="A131" t="s">
        <v>20</v>
      </c>
      <c r="B131">
        <v>130</v>
      </c>
      <c r="C131" t="s">
        <v>299</v>
      </c>
      <c r="D131" t="s">
        <v>80</v>
      </c>
    </row>
    <row r="132" spans="1:4" x14ac:dyDescent="0.25">
      <c r="A132" t="s">
        <v>20</v>
      </c>
      <c r="B132">
        <v>131</v>
      </c>
      <c r="C132" t="s">
        <v>270</v>
      </c>
      <c r="D132" t="s">
        <v>110</v>
      </c>
    </row>
    <row r="133" spans="1:4" x14ac:dyDescent="0.25">
      <c r="A133" t="s">
        <v>20</v>
      </c>
      <c r="B133">
        <v>132</v>
      </c>
      <c r="C133" t="s">
        <v>296</v>
      </c>
      <c r="D133" t="s">
        <v>35</v>
      </c>
    </row>
    <row r="134" spans="1:4" x14ac:dyDescent="0.25">
      <c r="A134" t="s">
        <v>20</v>
      </c>
      <c r="B134">
        <v>133</v>
      </c>
      <c r="C134" t="s">
        <v>408</v>
      </c>
      <c r="D134" t="s">
        <v>55</v>
      </c>
    </row>
    <row r="135" spans="1:4" x14ac:dyDescent="0.25">
      <c r="A135" t="s">
        <v>20</v>
      </c>
      <c r="B135">
        <v>134</v>
      </c>
      <c r="C135" t="s">
        <v>407</v>
      </c>
      <c r="D135" t="s">
        <v>80</v>
      </c>
    </row>
    <row r="136" spans="1:4" x14ac:dyDescent="0.25">
      <c r="A136" t="s">
        <v>20</v>
      </c>
      <c r="B136">
        <v>135</v>
      </c>
      <c r="C136" t="s">
        <v>406</v>
      </c>
      <c r="D136" t="s">
        <v>59</v>
      </c>
    </row>
    <row r="137" spans="1:4" x14ac:dyDescent="0.25">
      <c r="A137" t="s">
        <v>20</v>
      </c>
      <c r="B137">
        <v>136</v>
      </c>
      <c r="C137" t="s">
        <v>405</v>
      </c>
      <c r="D137" t="s">
        <v>61</v>
      </c>
    </row>
    <row r="138" spans="1:4" x14ac:dyDescent="0.25">
      <c r="A138" t="s">
        <v>20</v>
      </c>
      <c r="B138">
        <v>137</v>
      </c>
      <c r="C138" t="s">
        <v>404</v>
      </c>
      <c r="D138" t="s">
        <v>110</v>
      </c>
    </row>
    <row r="139" spans="1:4" x14ac:dyDescent="0.25">
      <c r="A139" t="s">
        <v>20</v>
      </c>
      <c r="B139">
        <v>138</v>
      </c>
      <c r="C139" t="s">
        <v>403</v>
      </c>
      <c r="D139" t="s">
        <v>59</v>
      </c>
    </row>
    <row r="140" spans="1:4" x14ac:dyDescent="0.25">
      <c r="A140" t="s">
        <v>20</v>
      </c>
      <c r="B140">
        <v>139</v>
      </c>
      <c r="C140" t="s">
        <v>402</v>
      </c>
      <c r="D140" t="s">
        <v>49</v>
      </c>
    </row>
    <row r="141" spans="1:4" x14ac:dyDescent="0.25">
      <c r="A141" t="s">
        <v>20</v>
      </c>
      <c r="B141">
        <v>140</v>
      </c>
      <c r="C141" t="s">
        <v>401</v>
      </c>
      <c r="D141" t="s">
        <v>55</v>
      </c>
    </row>
    <row r="142" spans="1:4" x14ac:dyDescent="0.25">
      <c r="A142" t="s">
        <v>20</v>
      </c>
      <c r="B142">
        <v>141</v>
      </c>
      <c r="C142" t="s">
        <v>400</v>
      </c>
      <c r="D142" t="s">
        <v>49</v>
      </c>
    </row>
    <row r="143" spans="1:4" x14ac:dyDescent="0.25">
      <c r="A143" t="s">
        <v>20</v>
      </c>
      <c r="B143">
        <v>142</v>
      </c>
      <c r="C143" t="s">
        <v>315</v>
      </c>
      <c r="D143" t="s">
        <v>37</v>
      </c>
    </row>
    <row r="144" spans="1:4" x14ac:dyDescent="0.25">
      <c r="A144" t="s">
        <v>20</v>
      </c>
      <c r="B144">
        <v>143</v>
      </c>
      <c r="C144" t="s">
        <v>259</v>
      </c>
      <c r="D144" t="s">
        <v>80</v>
      </c>
    </row>
    <row r="145" spans="1:4" x14ac:dyDescent="0.25">
      <c r="A145" t="s">
        <v>20</v>
      </c>
      <c r="B145">
        <v>144</v>
      </c>
      <c r="C145" t="s">
        <v>399</v>
      </c>
      <c r="D145" t="s">
        <v>55</v>
      </c>
    </row>
    <row r="146" spans="1:4" x14ac:dyDescent="0.25">
      <c r="A146" t="s">
        <v>20</v>
      </c>
      <c r="B146">
        <v>145</v>
      </c>
      <c r="C146" t="s">
        <v>240</v>
      </c>
      <c r="D146" t="s">
        <v>29</v>
      </c>
    </row>
    <row r="147" spans="1:4" x14ac:dyDescent="0.25">
      <c r="A147" t="s">
        <v>20</v>
      </c>
      <c r="B147">
        <v>146</v>
      </c>
      <c r="C147" t="s">
        <v>342</v>
      </c>
      <c r="D147" t="s">
        <v>26</v>
      </c>
    </row>
    <row r="148" spans="1:4" x14ac:dyDescent="0.25">
      <c r="A148" t="s">
        <v>20</v>
      </c>
      <c r="B148">
        <v>147</v>
      </c>
      <c r="C148" t="s">
        <v>398</v>
      </c>
      <c r="D148" t="s">
        <v>85</v>
      </c>
    </row>
    <row r="149" spans="1:4" x14ac:dyDescent="0.25">
      <c r="A149" t="s">
        <v>20</v>
      </c>
      <c r="B149">
        <v>148</v>
      </c>
      <c r="C149" t="s">
        <v>397</v>
      </c>
      <c r="D149" t="s">
        <v>21</v>
      </c>
    </row>
    <row r="150" spans="1:4" x14ac:dyDescent="0.25">
      <c r="A150" t="s">
        <v>20</v>
      </c>
      <c r="B150">
        <v>149</v>
      </c>
      <c r="C150" t="s">
        <v>396</v>
      </c>
      <c r="D150" t="s">
        <v>41</v>
      </c>
    </row>
    <row r="151" spans="1:4" x14ac:dyDescent="0.25">
      <c r="A151" t="s">
        <v>23</v>
      </c>
      <c r="B151">
        <v>1</v>
      </c>
      <c r="C151" t="s">
        <v>22</v>
      </c>
      <c r="D151" t="s">
        <v>24</v>
      </c>
    </row>
    <row r="152" spans="1:4" x14ac:dyDescent="0.25">
      <c r="A152" t="s">
        <v>23</v>
      </c>
      <c r="B152">
        <v>2</v>
      </c>
      <c r="C152" t="s">
        <v>36</v>
      </c>
      <c r="D152" t="s">
        <v>37</v>
      </c>
    </row>
    <row r="153" spans="1:4" x14ac:dyDescent="0.25">
      <c r="A153" t="s">
        <v>23</v>
      </c>
      <c r="B153">
        <v>3</v>
      </c>
      <c r="C153" t="s">
        <v>25</v>
      </c>
      <c r="D153" t="s">
        <v>26</v>
      </c>
    </row>
    <row r="154" spans="1:4" x14ac:dyDescent="0.25">
      <c r="A154" t="s">
        <v>23</v>
      </c>
      <c r="B154">
        <v>4</v>
      </c>
      <c r="C154" t="s">
        <v>54</v>
      </c>
      <c r="D154" t="s">
        <v>55</v>
      </c>
    </row>
    <row r="155" spans="1:4" x14ac:dyDescent="0.25">
      <c r="A155" t="s">
        <v>23</v>
      </c>
      <c r="B155">
        <v>5</v>
      </c>
      <c r="C155" t="s">
        <v>47</v>
      </c>
      <c r="D155" t="s">
        <v>29</v>
      </c>
    </row>
    <row r="156" spans="1:4" x14ac:dyDescent="0.25">
      <c r="A156" t="s">
        <v>23</v>
      </c>
      <c r="B156">
        <v>6</v>
      </c>
      <c r="C156" t="s">
        <v>76</v>
      </c>
      <c r="D156" t="s">
        <v>68</v>
      </c>
    </row>
    <row r="157" spans="1:4" x14ac:dyDescent="0.25">
      <c r="A157" t="s">
        <v>23</v>
      </c>
      <c r="B157">
        <v>7</v>
      </c>
      <c r="C157" t="s">
        <v>58</v>
      </c>
      <c r="D157" t="s">
        <v>59</v>
      </c>
    </row>
    <row r="158" spans="1:4" x14ac:dyDescent="0.25">
      <c r="A158" t="s">
        <v>23</v>
      </c>
      <c r="B158">
        <v>8</v>
      </c>
      <c r="C158" t="s">
        <v>52</v>
      </c>
      <c r="D158" t="s">
        <v>21</v>
      </c>
    </row>
    <row r="159" spans="1:4" x14ac:dyDescent="0.25">
      <c r="A159" t="s">
        <v>23</v>
      </c>
      <c r="B159">
        <v>9</v>
      </c>
      <c r="C159" t="s">
        <v>32</v>
      </c>
      <c r="D159" t="s">
        <v>33</v>
      </c>
    </row>
    <row r="160" spans="1:4" x14ac:dyDescent="0.25">
      <c r="A160" t="s">
        <v>23</v>
      </c>
      <c r="B160">
        <v>10</v>
      </c>
      <c r="C160" t="s">
        <v>72</v>
      </c>
      <c r="D160" t="s">
        <v>65</v>
      </c>
    </row>
    <row r="161" spans="1:4" x14ac:dyDescent="0.25">
      <c r="A161" t="s">
        <v>23</v>
      </c>
      <c r="B161">
        <v>11</v>
      </c>
      <c r="C161" t="s">
        <v>86</v>
      </c>
      <c r="D161" t="s">
        <v>85</v>
      </c>
    </row>
    <row r="162" spans="1:4" x14ac:dyDescent="0.25">
      <c r="A162" t="s">
        <v>23</v>
      </c>
      <c r="B162">
        <v>12</v>
      </c>
      <c r="C162" t="s">
        <v>395</v>
      </c>
      <c r="D162" t="s">
        <v>45</v>
      </c>
    </row>
    <row r="163" spans="1:4" x14ac:dyDescent="0.25">
      <c r="A163" t="s">
        <v>23</v>
      </c>
      <c r="B163">
        <v>13</v>
      </c>
      <c r="C163" t="s">
        <v>40</v>
      </c>
      <c r="D163" t="s">
        <v>41</v>
      </c>
    </row>
    <row r="164" spans="1:4" x14ac:dyDescent="0.25">
      <c r="A164" t="s">
        <v>23</v>
      </c>
      <c r="B164">
        <v>14</v>
      </c>
      <c r="C164" t="s">
        <v>105</v>
      </c>
      <c r="D164" t="s">
        <v>90</v>
      </c>
    </row>
    <row r="165" spans="1:4" x14ac:dyDescent="0.25">
      <c r="A165" t="s">
        <v>23</v>
      </c>
      <c r="B165">
        <v>15</v>
      </c>
      <c r="C165" t="s">
        <v>71</v>
      </c>
      <c r="D165" t="s">
        <v>49</v>
      </c>
    </row>
    <row r="166" spans="1:4" x14ac:dyDescent="0.25">
      <c r="A166" t="s">
        <v>23</v>
      </c>
      <c r="B166">
        <v>16</v>
      </c>
      <c r="C166" t="s">
        <v>60</v>
      </c>
      <c r="D166" t="s">
        <v>61</v>
      </c>
    </row>
    <row r="167" spans="1:4" x14ac:dyDescent="0.25">
      <c r="A167" t="s">
        <v>23</v>
      </c>
      <c r="B167">
        <v>17</v>
      </c>
      <c r="C167" t="s">
        <v>159</v>
      </c>
      <c r="D167" t="s">
        <v>96</v>
      </c>
    </row>
    <row r="168" spans="1:4" x14ac:dyDescent="0.25">
      <c r="A168" t="s">
        <v>23</v>
      </c>
      <c r="B168">
        <v>18</v>
      </c>
      <c r="C168" t="s">
        <v>169</v>
      </c>
      <c r="D168" t="s">
        <v>35</v>
      </c>
    </row>
    <row r="169" spans="1:4" x14ac:dyDescent="0.25">
      <c r="A169" t="s">
        <v>23</v>
      </c>
      <c r="B169">
        <v>19</v>
      </c>
      <c r="C169" t="s">
        <v>180</v>
      </c>
      <c r="D169" t="s">
        <v>43</v>
      </c>
    </row>
    <row r="170" spans="1:4" x14ac:dyDescent="0.25">
      <c r="A170" t="s">
        <v>23</v>
      </c>
      <c r="B170">
        <v>20</v>
      </c>
      <c r="C170" t="s">
        <v>56</v>
      </c>
      <c r="D170" t="s">
        <v>57</v>
      </c>
    </row>
    <row r="171" spans="1:4" x14ac:dyDescent="0.25">
      <c r="A171" t="s">
        <v>23</v>
      </c>
      <c r="B171">
        <v>21</v>
      </c>
      <c r="C171" t="s">
        <v>77</v>
      </c>
      <c r="D171" t="s">
        <v>361</v>
      </c>
    </row>
    <row r="172" spans="1:4" x14ac:dyDescent="0.25">
      <c r="A172" t="s">
        <v>23</v>
      </c>
      <c r="B172">
        <v>22</v>
      </c>
      <c r="C172" t="s">
        <v>298</v>
      </c>
      <c r="D172" t="s">
        <v>132</v>
      </c>
    </row>
    <row r="173" spans="1:4" x14ac:dyDescent="0.25">
      <c r="A173" t="s">
        <v>23</v>
      </c>
      <c r="B173">
        <v>23</v>
      </c>
      <c r="C173" t="s">
        <v>120</v>
      </c>
      <c r="D173" t="s">
        <v>110</v>
      </c>
    </row>
    <row r="174" spans="1:4" x14ac:dyDescent="0.25">
      <c r="A174" t="s">
        <v>23</v>
      </c>
      <c r="B174">
        <v>24</v>
      </c>
      <c r="C174" t="s">
        <v>127</v>
      </c>
      <c r="D174" t="s">
        <v>39</v>
      </c>
    </row>
    <row r="175" spans="1:4" x14ac:dyDescent="0.25">
      <c r="A175" t="s">
        <v>23</v>
      </c>
      <c r="B175">
        <v>25</v>
      </c>
      <c r="C175" t="s">
        <v>150</v>
      </c>
      <c r="D175" t="s">
        <v>108</v>
      </c>
    </row>
    <row r="176" spans="1:4" x14ac:dyDescent="0.25">
      <c r="A176" t="s">
        <v>23</v>
      </c>
      <c r="B176">
        <v>26</v>
      </c>
      <c r="C176" t="s">
        <v>318</v>
      </c>
      <c r="D176" t="s">
        <v>51</v>
      </c>
    </row>
    <row r="177" spans="1:4" x14ac:dyDescent="0.25">
      <c r="A177" t="s">
        <v>23</v>
      </c>
      <c r="B177">
        <v>27</v>
      </c>
      <c r="C177" t="s">
        <v>394</v>
      </c>
      <c r="D177" t="s">
        <v>74</v>
      </c>
    </row>
    <row r="178" spans="1:4" x14ac:dyDescent="0.25">
      <c r="A178" t="s">
        <v>23</v>
      </c>
      <c r="B178">
        <v>28</v>
      </c>
      <c r="C178" t="s">
        <v>106</v>
      </c>
      <c r="D178" t="s">
        <v>92</v>
      </c>
    </row>
    <row r="179" spans="1:4" x14ac:dyDescent="0.25">
      <c r="A179" t="s">
        <v>23</v>
      </c>
      <c r="B179">
        <v>29</v>
      </c>
      <c r="C179" t="s">
        <v>306</v>
      </c>
      <c r="D179" t="s">
        <v>361</v>
      </c>
    </row>
    <row r="180" spans="1:4" x14ac:dyDescent="0.25">
      <c r="A180" t="s">
        <v>23</v>
      </c>
      <c r="B180">
        <v>30</v>
      </c>
      <c r="C180" t="s">
        <v>117</v>
      </c>
      <c r="D180" t="s">
        <v>114</v>
      </c>
    </row>
    <row r="181" spans="1:4" x14ac:dyDescent="0.25">
      <c r="A181" t="s">
        <v>23</v>
      </c>
      <c r="B181">
        <v>31</v>
      </c>
      <c r="C181" t="s">
        <v>116</v>
      </c>
      <c r="D181" t="s">
        <v>98</v>
      </c>
    </row>
    <row r="182" spans="1:4" x14ac:dyDescent="0.25">
      <c r="A182" t="s">
        <v>23</v>
      </c>
      <c r="B182">
        <v>32</v>
      </c>
      <c r="C182" t="s">
        <v>212</v>
      </c>
      <c r="D182" t="s">
        <v>108</v>
      </c>
    </row>
    <row r="183" spans="1:4" x14ac:dyDescent="0.25">
      <c r="A183" t="s">
        <v>23</v>
      </c>
      <c r="B183">
        <v>33</v>
      </c>
      <c r="C183" t="s">
        <v>302</v>
      </c>
      <c r="D183" t="s">
        <v>57</v>
      </c>
    </row>
    <row r="184" spans="1:4" x14ac:dyDescent="0.25">
      <c r="A184" t="s">
        <v>23</v>
      </c>
      <c r="B184">
        <v>34</v>
      </c>
      <c r="C184" t="s">
        <v>255</v>
      </c>
      <c r="D184" t="s">
        <v>110</v>
      </c>
    </row>
    <row r="185" spans="1:4" x14ac:dyDescent="0.25">
      <c r="A185" t="s">
        <v>23</v>
      </c>
      <c r="B185">
        <v>35</v>
      </c>
      <c r="C185" t="s">
        <v>160</v>
      </c>
      <c r="D185" t="s">
        <v>98</v>
      </c>
    </row>
    <row r="186" spans="1:4" x14ac:dyDescent="0.25">
      <c r="A186" t="s">
        <v>23</v>
      </c>
      <c r="B186">
        <v>36</v>
      </c>
      <c r="C186" t="s">
        <v>133</v>
      </c>
      <c r="D186" t="s">
        <v>31</v>
      </c>
    </row>
    <row r="187" spans="1:4" x14ac:dyDescent="0.25">
      <c r="A187" t="s">
        <v>23</v>
      </c>
      <c r="B187">
        <v>37</v>
      </c>
      <c r="C187" t="s">
        <v>248</v>
      </c>
      <c r="D187" t="s">
        <v>49</v>
      </c>
    </row>
    <row r="188" spans="1:4" x14ac:dyDescent="0.25">
      <c r="A188" t="s">
        <v>23</v>
      </c>
      <c r="B188">
        <v>38</v>
      </c>
      <c r="C188" t="s">
        <v>203</v>
      </c>
      <c r="D188" t="s">
        <v>80</v>
      </c>
    </row>
    <row r="189" spans="1:4" x14ac:dyDescent="0.25">
      <c r="A189" t="s">
        <v>23</v>
      </c>
      <c r="B189">
        <v>39</v>
      </c>
      <c r="C189" t="s">
        <v>142</v>
      </c>
      <c r="D189" t="s">
        <v>80</v>
      </c>
    </row>
    <row r="190" spans="1:4" x14ac:dyDescent="0.25">
      <c r="A190" t="s">
        <v>23</v>
      </c>
      <c r="B190">
        <v>40</v>
      </c>
      <c r="C190" t="s">
        <v>141</v>
      </c>
      <c r="D190" t="s">
        <v>43</v>
      </c>
    </row>
    <row r="191" spans="1:4" x14ac:dyDescent="0.25">
      <c r="A191" t="s">
        <v>23</v>
      </c>
      <c r="B191">
        <v>41</v>
      </c>
      <c r="C191" t="s">
        <v>146</v>
      </c>
      <c r="D191" t="s">
        <v>31</v>
      </c>
    </row>
    <row r="192" spans="1:4" x14ac:dyDescent="0.25">
      <c r="A192" t="s">
        <v>23</v>
      </c>
      <c r="B192">
        <v>42</v>
      </c>
      <c r="C192" t="s">
        <v>211</v>
      </c>
      <c r="D192" t="s">
        <v>39</v>
      </c>
    </row>
    <row r="193" spans="1:4" x14ac:dyDescent="0.25">
      <c r="A193" t="s">
        <v>23</v>
      </c>
      <c r="B193">
        <v>43</v>
      </c>
      <c r="C193" t="s">
        <v>207</v>
      </c>
      <c r="D193" t="s">
        <v>45</v>
      </c>
    </row>
    <row r="194" spans="1:4" x14ac:dyDescent="0.25">
      <c r="A194" t="s">
        <v>23</v>
      </c>
      <c r="B194">
        <v>44</v>
      </c>
      <c r="C194" t="s">
        <v>153</v>
      </c>
      <c r="D194" t="s">
        <v>74</v>
      </c>
    </row>
    <row r="195" spans="1:4" x14ac:dyDescent="0.25">
      <c r="A195" t="s">
        <v>23</v>
      </c>
      <c r="B195">
        <v>45</v>
      </c>
      <c r="C195" t="s">
        <v>221</v>
      </c>
      <c r="D195" t="s">
        <v>114</v>
      </c>
    </row>
    <row r="196" spans="1:4" x14ac:dyDescent="0.25">
      <c r="A196" t="s">
        <v>23</v>
      </c>
      <c r="B196">
        <v>46</v>
      </c>
      <c r="C196" t="s">
        <v>393</v>
      </c>
      <c r="D196" t="s">
        <v>92</v>
      </c>
    </row>
    <row r="197" spans="1:4" x14ac:dyDescent="0.25">
      <c r="A197" t="s">
        <v>23</v>
      </c>
      <c r="B197">
        <v>47</v>
      </c>
      <c r="C197" t="s">
        <v>225</v>
      </c>
      <c r="D197" t="s">
        <v>51</v>
      </c>
    </row>
    <row r="198" spans="1:4" x14ac:dyDescent="0.25">
      <c r="A198" t="s">
        <v>23</v>
      </c>
      <c r="B198">
        <v>48</v>
      </c>
      <c r="C198" t="s">
        <v>186</v>
      </c>
      <c r="D198" t="s">
        <v>132</v>
      </c>
    </row>
    <row r="199" spans="1:4" x14ac:dyDescent="0.25">
      <c r="A199" t="s">
        <v>23</v>
      </c>
      <c r="B199">
        <v>49</v>
      </c>
      <c r="C199" t="s">
        <v>122</v>
      </c>
      <c r="D199" t="s">
        <v>37</v>
      </c>
    </row>
    <row r="200" spans="1:4" x14ac:dyDescent="0.25">
      <c r="A200" t="s">
        <v>23</v>
      </c>
      <c r="B200">
        <v>50</v>
      </c>
      <c r="C200" t="s">
        <v>95</v>
      </c>
      <c r="D200" t="s">
        <v>96</v>
      </c>
    </row>
    <row r="201" spans="1:4" x14ac:dyDescent="0.25">
      <c r="A201" t="s">
        <v>23</v>
      </c>
      <c r="B201">
        <v>51</v>
      </c>
      <c r="C201" t="s">
        <v>233</v>
      </c>
      <c r="D201" t="s">
        <v>65</v>
      </c>
    </row>
    <row r="202" spans="1:4" x14ac:dyDescent="0.25">
      <c r="A202" t="s">
        <v>23</v>
      </c>
      <c r="B202">
        <v>52</v>
      </c>
      <c r="C202" t="s">
        <v>392</v>
      </c>
      <c r="D202" t="s">
        <v>98</v>
      </c>
    </row>
    <row r="203" spans="1:4" x14ac:dyDescent="0.25">
      <c r="A203" t="s">
        <v>23</v>
      </c>
      <c r="B203">
        <v>53</v>
      </c>
      <c r="C203" t="s">
        <v>228</v>
      </c>
      <c r="D203" t="s">
        <v>24</v>
      </c>
    </row>
    <row r="204" spans="1:4" x14ac:dyDescent="0.25">
      <c r="A204" t="s">
        <v>23</v>
      </c>
      <c r="B204">
        <v>54</v>
      </c>
      <c r="C204" t="s">
        <v>289</v>
      </c>
      <c r="D204" t="s">
        <v>33</v>
      </c>
    </row>
    <row r="205" spans="1:4" x14ac:dyDescent="0.25">
      <c r="A205" t="s">
        <v>23</v>
      </c>
      <c r="B205">
        <v>55</v>
      </c>
      <c r="C205" t="s">
        <v>198</v>
      </c>
      <c r="D205" t="s">
        <v>90</v>
      </c>
    </row>
    <row r="206" spans="1:4" x14ac:dyDescent="0.25">
      <c r="A206" t="s">
        <v>23</v>
      </c>
      <c r="B206">
        <v>56</v>
      </c>
      <c r="C206" t="s">
        <v>112</v>
      </c>
      <c r="D206" t="s">
        <v>45</v>
      </c>
    </row>
    <row r="207" spans="1:4" x14ac:dyDescent="0.25">
      <c r="A207" t="s">
        <v>23</v>
      </c>
      <c r="B207">
        <v>57</v>
      </c>
      <c r="C207" t="s">
        <v>325</v>
      </c>
      <c r="D207" t="s">
        <v>74</v>
      </c>
    </row>
    <row r="208" spans="1:4" x14ac:dyDescent="0.25">
      <c r="A208" t="s">
        <v>23</v>
      </c>
      <c r="B208">
        <v>58</v>
      </c>
      <c r="C208" t="s">
        <v>313</v>
      </c>
      <c r="D208" t="s">
        <v>65</v>
      </c>
    </row>
    <row r="209" spans="1:4" x14ac:dyDescent="0.25">
      <c r="A209" t="s">
        <v>23</v>
      </c>
      <c r="B209">
        <v>59</v>
      </c>
      <c r="C209" t="s">
        <v>391</v>
      </c>
      <c r="D209" t="s">
        <v>85</v>
      </c>
    </row>
    <row r="210" spans="1:4" x14ac:dyDescent="0.25">
      <c r="A210" t="s">
        <v>23</v>
      </c>
      <c r="B210">
        <v>60</v>
      </c>
      <c r="C210" t="s">
        <v>195</v>
      </c>
      <c r="D210" t="s">
        <v>68</v>
      </c>
    </row>
    <row r="211" spans="1:4" x14ac:dyDescent="0.25">
      <c r="A211" t="s">
        <v>23</v>
      </c>
      <c r="B211">
        <v>61</v>
      </c>
      <c r="C211" t="s">
        <v>390</v>
      </c>
      <c r="D211" t="s">
        <v>29</v>
      </c>
    </row>
    <row r="212" spans="1:4" x14ac:dyDescent="0.25">
      <c r="A212" t="s">
        <v>23</v>
      </c>
      <c r="B212">
        <v>62</v>
      </c>
      <c r="C212" t="s">
        <v>260</v>
      </c>
      <c r="D212" t="s">
        <v>57</v>
      </c>
    </row>
    <row r="213" spans="1:4" x14ac:dyDescent="0.25">
      <c r="A213" t="s">
        <v>23</v>
      </c>
      <c r="B213">
        <v>63</v>
      </c>
      <c r="C213" t="s">
        <v>257</v>
      </c>
      <c r="D213" t="s">
        <v>59</v>
      </c>
    </row>
    <row r="214" spans="1:4" x14ac:dyDescent="0.25">
      <c r="A214" t="s">
        <v>23</v>
      </c>
      <c r="B214">
        <v>64</v>
      </c>
      <c r="C214" t="s">
        <v>389</v>
      </c>
      <c r="D214" t="s">
        <v>114</v>
      </c>
    </row>
    <row r="215" spans="1:4" x14ac:dyDescent="0.25">
      <c r="A215" t="s">
        <v>23</v>
      </c>
      <c r="B215">
        <v>65</v>
      </c>
      <c r="C215" t="s">
        <v>239</v>
      </c>
      <c r="D215" t="s">
        <v>41</v>
      </c>
    </row>
    <row r="216" spans="1:4" x14ac:dyDescent="0.25">
      <c r="A216" t="s">
        <v>23</v>
      </c>
      <c r="B216">
        <v>66</v>
      </c>
      <c r="C216" t="s">
        <v>284</v>
      </c>
      <c r="D216" t="s">
        <v>59</v>
      </c>
    </row>
    <row r="217" spans="1:4" x14ac:dyDescent="0.25">
      <c r="A217" t="s">
        <v>23</v>
      </c>
      <c r="B217">
        <v>67</v>
      </c>
      <c r="C217" t="s">
        <v>388</v>
      </c>
      <c r="D217" t="s">
        <v>80</v>
      </c>
    </row>
    <row r="218" spans="1:4" x14ac:dyDescent="0.25">
      <c r="A218" t="s">
        <v>23</v>
      </c>
      <c r="B218">
        <v>68</v>
      </c>
      <c r="C218" t="s">
        <v>334</v>
      </c>
      <c r="D218" t="s">
        <v>68</v>
      </c>
    </row>
    <row r="219" spans="1:4" x14ac:dyDescent="0.25">
      <c r="A219" t="s">
        <v>23</v>
      </c>
      <c r="B219">
        <v>69</v>
      </c>
      <c r="C219" t="s">
        <v>387</v>
      </c>
      <c r="D219" t="s">
        <v>61</v>
      </c>
    </row>
    <row r="220" spans="1:4" x14ac:dyDescent="0.25">
      <c r="A220" t="s">
        <v>23</v>
      </c>
      <c r="B220">
        <v>70</v>
      </c>
      <c r="C220" t="s">
        <v>323</v>
      </c>
      <c r="D220" t="s">
        <v>96</v>
      </c>
    </row>
    <row r="221" spans="1:4" x14ac:dyDescent="0.25">
      <c r="A221" t="s">
        <v>23</v>
      </c>
      <c r="B221">
        <v>71</v>
      </c>
      <c r="C221" t="s">
        <v>314</v>
      </c>
      <c r="D221" t="s">
        <v>35</v>
      </c>
    </row>
    <row r="222" spans="1:4" x14ac:dyDescent="0.25">
      <c r="A222" t="s">
        <v>23</v>
      </c>
      <c r="B222">
        <v>72</v>
      </c>
      <c r="C222" t="s">
        <v>241</v>
      </c>
      <c r="D222" t="s">
        <v>55</v>
      </c>
    </row>
    <row r="223" spans="1:4" x14ac:dyDescent="0.25">
      <c r="A223" t="s">
        <v>23</v>
      </c>
      <c r="B223">
        <v>73</v>
      </c>
      <c r="C223" t="s">
        <v>332</v>
      </c>
      <c r="D223" t="s">
        <v>61</v>
      </c>
    </row>
    <row r="224" spans="1:4" x14ac:dyDescent="0.25">
      <c r="A224" t="s">
        <v>23</v>
      </c>
      <c r="B224">
        <v>74</v>
      </c>
      <c r="C224" t="s">
        <v>330</v>
      </c>
      <c r="D224" t="s">
        <v>90</v>
      </c>
    </row>
    <row r="225" spans="1:4" x14ac:dyDescent="0.25">
      <c r="A225" t="s">
        <v>23</v>
      </c>
      <c r="B225">
        <v>75</v>
      </c>
      <c r="C225" t="s">
        <v>386</v>
      </c>
      <c r="D225" t="s">
        <v>55</v>
      </c>
    </row>
    <row r="226" spans="1:4" x14ac:dyDescent="0.25">
      <c r="A226" t="s">
        <v>23</v>
      </c>
      <c r="B226">
        <v>76</v>
      </c>
      <c r="C226" t="s">
        <v>385</v>
      </c>
      <c r="D226" t="s">
        <v>35</v>
      </c>
    </row>
    <row r="227" spans="1:4" x14ac:dyDescent="0.25">
      <c r="A227" t="s">
        <v>23</v>
      </c>
      <c r="B227">
        <v>77</v>
      </c>
      <c r="C227" t="s">
        <v>341</v>
      </c>
      <c r="D227" t="s">
        <v>21</v>
      </c>
    </row>
    <row r="228" spans="1:4" x14ac:dyDescent="0.25">
      <c r="A228" t="s">
        <v>23</v>
      </c>
      <c r="B228">
        <v>78</v>
      </c>
      <c r="C228" t="s">
        <v>316</v>
      </c>
      <c r="D228" t="s">
        <v>45</v>
      </c>
    </row>
    <row r="229" spans="1:4" x14ac:dyDescent="0.25">
      <c r="A229" t="s">
        <v>23</v>
      </c>
      <c r="B229">
        <v>79</v>
      </c>
      <c r="C229" t="s">
        <v>384</v>
      </c>
      <c r="D229" t="s">
        <v>31</v>
      </c>
    </row>
    <row r="230" spans="1:4" x14ac:dyDescent="0.25">
      <c r="A230" t="s">
        <v>23</v>
      </c>
      <c r="B230">
        <v>80</v>
      </c>
      <c r="C230" t="s">
        <v>305</v>
      </c>
      <c r="D230" t="s">
        <v>51</v>
      </c>
    </row>
    <row r="231" spans="1:4" x14ac:dyDescent="0.25">
      <c r="A231" t="s">
        <v>23</v>
      </c>
      <c r="B231">
        <v>81</v>
      </c>
      <c r="C231" t="s">
        <v>383</v>
      </c>
      <c r="D231" t="s">
        <v>108</v>
      </c>
    </row>
    <row r="232" spans="1:4" x14ac:dyDescent="0.25">
      <c r="A232" t="s">
        <v>23</v>
      </c>
      <c r="B232">
        <v>82</v>
      </c>
      <c r="C232" t="s">
        <v>382</v>
      </c>
      <c r="D232" t="s">
        <v>26</v>
      </c>
    </row>
    <row r="233" spans="1:4" x14ac:dyDescent="0.25">
      <c r="A233" t="s">
        <v>23</v>
      </c>
      <c r="B233">
        <v>83</v>
      </c>
      <c r="C233" t="s">
        <v>335</v>
      </c>
      <c r="D233" t="s">
        <v>74</v>
      </c>
    </row>
    <row r="234" spans="1:4" x14ac:dyDescent="0.25">
      <c r="A234" t="s">
        <v>23</v>
      </c>
      <c r="B234">
        <v>84</v>
      </c>
      <c r="C234" t="s">
        <v>262</v>
      </c>
      <c r="D234" t="s">
        <v>85</v>
      </c>
    </row>
    <row r="235" spans="1:4" x14ac:dyDescent="0.25">
      <c r="A235" t="s">
        <v>23</v>
      </c>
      <c r="B235">
        <v>85</v>
      </c>
      <c r="C235" t="s">
        <v>279</v>
      </c>
      <c r="D235" t="s">
        <v>43</v>
      </c>
    </row>
    <row r="236" spans="1:4" x14ac:dyDescent="0.25">
      <c r="A236" t="s">
        <v>23</v>
      </c>
      <c r="B236">
        <v>86</v>
      </c>
      <c r="C236" t="s">
        <v>199</v>
      </c>
      <c r="D236" t="s">
        <v>80</v>
      </c>
    </row>
    <row r="237" spans="1:4" x14ac:dyDescent="0.25">
      <c r="A237" t="s">
        <v>23</v>
      </c>
      <c r="B237">
        <v>87</v>
      </c>
      <c r="C237" t="s">
        <v>266</v>
      </c>
      <c r="D237" t="s">
        <v>98</v>
      </c>
    </row>
    <row r="238" spans="1:4" x14ac:dyDescent="0.25">
      <c r="A238" t="s">
        <v>23</v>
      </c>
      <c r="B238">
        <v>88</v>
      </c>
      <c r="C238" t="s">
        <v>254</v>
      </c>
      <c r="D238" t="s">
        <v>96</v>
      </c>
    </row>
    <row r="239" spans="1:4" x14ac:dyDescent="0.25">
      <c r="A239" t="s">
        <v>23</v>
      </c>
      <c r="B239">
        <v>89</v>
      </c>
      <c r="C239" t="s">
        <v>283</v>
      </c>
      <c r="D239" t="s">
        <v>85</v>
      </c>
    </row>
    <row r="240" spans="1:4" x14ac:dyDescent="0.25">
      <c r="A240" t="s">
        <v>23</v>
      </c>
      <c r="B240">
        <v>90</v>
      </c>
      <c r="C240" t="s">
        <v>193</v>
      </c>
      <c r="D240" t="s">
        <v>65</v>
      </c>
    </row>
    <row r="241" spans="1:4" x14ac:dyDescent="0.25">
      <c r="A241" t="s">
        <v>23</v>
      </c>
      <c r="B241">
        <v>91</v>
      </c>
      <c r="C241" t="s">
        <v>339</v>
      </c>
      <c r="D241" t="s">
        <v>92</v>
      </c>
    </row>
    <row r="242" spans="1:4" x14ac:dyDescent="0.25">
      <c r="A242" t="s">
        <v>23</v>
      </c>
      <c r="B242">
        <v>92</v>
      </c>
      <c r="C242" t="s">
        <v>381</v>
      </c>
      <c r="D242" t="s">
        <v>26</v>
      </c>
    </row>
    <row r="243" spans="1:4" x14ac:dyDescent="0.25">
      <c r="A243" t="s">
        <v>23</v>
      </c>
      <c r="B243">
        <v>93</v>
      </c>
      <c r="C243" t="s">
        <v>380</v>
      </c>
      <c r="D243" t="s">
        <v>41</v>
      </c>
    </row>
    <row r="244" spans="1:4" x14ac:dyDescent="0.25">
      <c r="A244" t="s">
        <v>23</v>
      </c>
      <c r="B244">
        <v>94</v>
      </c>
      <c r="C244" t="s">
        <v>379</v>
      </c>
      <c r="D244" t="s">
        <v>21</v>
      </c>
    </row>
    <row r="245" spans="1:4" x14ac:dyDescent="0.25">
      <c r="A245" t="s">
        <v>23</v>
      </c>
      <c r="B245">
        <v>95</v>
      </c>
      <c r="C245" t="s">
        <v>378</v>
      </c>
      <c r="D245" t="s">
        <v>26</v>
      </c>
    </row>
    <row r="246" spans="1:4" x14ac:dyDescent="0.25">
      <c r="A246" t="s">
        <v>23</v>
      </c>
      <c r="B246">
        <v>96</v>
      </c>
      <c r="C246" t="s">
        <v>377</v>
      </c>
      <c r="D246" t="s">
        <v>375</v>
      </c>
    </row>
    <row r="247" spans="1:4" x14ac:dyDescent="0.25">
      <c r="A247" t="s">
        <v>23</v>
      </c>
      <c r="B247">
        <v>97</v>
      </c>
      <c r="C247" t="s">
        <v>376</v>
      </c>
      <c r="D247" t="s">
        <v>49</v>
      </c>
    </row>
    <row r="248" spans="1:4" x14ac:dyDescent="0.25">
      <c r="A248" t="s">
        <v>23</v>
      </c>
      <c r="B248">
        <v>98</v>
      </c>
      <c r="C248" t="s">
        <v>291</v>
      </c>
      <c r="D248" t="s">
        <v>96</v>
      </c>
    </row>
    <row r="249" spans="1:4" x14ac:dyDescent="0.25">
      <c r="A249" t="s">
        <v>23</v>
      </c>
      <c r="B249">
        <v>99</v>
      </c>
      <c r="C249" t="s">
        <v>217</v>
      </c>
      <c r="D249" t="s">
        <v>33</v>
      </c>
    </row>
    <row r="250" spans="1:4" x14ac:dyDescent="0.25">
      <c r="A250" t="s">
        <v>23</v>
      </c>
      <c r="B250">
        <v>100</v>
      </c>
      <c r="C250" t="s">
        <v>223</v>
      </c>
      <c r="D250" t="s">
        <v>375</v>
      </c>
    </row>
    <row r="251" spans="1:4" x14ac:dyDescent="0.25">
      <c r="A251" t="s">
        <v>23</v>
      </c>
      <c r="B251">
        <v>101</v>
      </c>
      <c r="C251" t="s">
        <v>374</v>
      </c>
      <c r="D251" t="s">
        <v>45</v>
      </c>
    </row>
    <row r="252" spans="1:4" x14ac:dyDescent="0.25">
      <c r="A252" t="s">
        <v>23</v>
      </c>
      <c r="B252">
        <v>102</v>
      </c>
      <c r="C252" t="s">
        <v>373</v>
      </c>
      <c r="D252" t="s">
        <v>51</v>
      </c>
    </row>
    <row r="253" spans="1:4" x14ac:dyDescent="0.25">
      <c r="A253" t="s">
        <v>23</v>
      </c>
      <c r="B253">
        <v>103</v>
      </c>
      <c r="C253" t="s">
        <v>372</v>
      </c>
      <c r="D253" t="s">
        <v>108</v>
      </c>
    </row>
    <row r="254" spans="1:4" x14ac:dyDescent="0.25">
      <c r="A254" t="s">
        <v>28</v>
      </c>
      <c r="B254">
        <v>1</v>
      </c>
      <c r="C254" t="s">
        <v>44</v>
      </c>
      <c r="D254" t="s">
        <v>45</v>
      </c>
    </row>
    <row r="255" spans="1:4" x14ac:dyDescent="0.25">
      <c r="A255" t="s">
        <v>28</v>
      </c>
      <c r="B255">
        <v>2</v>
      </c>
      <c r="C255" t="s">
        <v>27</v>
      </c>
      <c r="D255" t="s">
        <v>29</v>
      </c>
    </row>
    <row r="256" spans="1:4" x14ac:dyDescent="0.25">
      <c r="A256" t="s">
        <v>28</v>
      </c>
      <c r="B256">
        <v>3</v>
      </c>
      <c r="C256" t="s">
        <v>137</v>
      </c>
      <c r="D256" t="s">
        <v>110</v>
      </c>
    </row>
    <row r="257" spans="1:4" x14ac:dyDescent="0.25">
      <c r="A257" t="s">
        <v>28</v>
      </c>
      <c r="B257">
        <v>4</v>
      </c>
      <c r="C257" t="s">
        <v>103</v>
      </c>
      <c r="D257" t="s">
        <v>55</v>
      </c>
    </row>
    <row r="258" spans="1:4" x14ac:dyDescent="0.25">
      <c r="A258" t="s">
        <v>28</v>
      </c>
      <c r="B258">
        <v>5</v>
      </c>
      <c r="C258" t="s">
        <v>214</v>
      </c>
      <c r="D258" t="s">
        <v>132</v>
      </c>
    </row>
    <row r="259" spans="1:4" x14ac:dyDescent="0.25">
      <c r="A259" t="s">
        <v>28</v>
      </c>
      <c r="B259">
        <v>6</v>
      </c>
      <c r="C259" t="s">
        <v>140</v>
      </c>
      <c r="D259" t="s">
        <v>61</v>
      </c>
    </row>
    <row r="260" spans="1:4" x14ac:dyDescent="0.25">
      <c r="A260" t="s">
        <v>28</v>
      </c>
      <c r="B260">
        <v>7</v>
      </c>
      <c r="C260" t="s">
        <v>151</v>
      </c>
      <c r="D260" t="s">
        <v>24</v>
      </c>
    </row>
    <row r="261" spans="1:4" x14ac:dyDescent="0.25">
      <c r="A261" t="s">
        <v>28</v>
      </c>
      <c r="B261">
        <v>8</v>
      </c>
      <c r="C261" t="s">
        <v>94</v>
      </c>
      <c r="D261" t="s">
        <v>37</v>
      </c>
    </row>
    <row r="262" spans="1:4" x14ac:dyDescent="0.25">
      <c r="A262" t="s">
        <v>28</v>
      </c>
      <c r="B262">
        <v>9</v>
      </c>
      <c r="C262" t="s">
        <v>100</v>
      </c>
      <c r="D262" t="s">
        <v>85</v>
      </c>
    </row>
    <row r="263" spans="1:4" x14ac:dyDescent="0.25">
      <c r="A263" t="s">
        <v>28</v>
      </c>
      <c r="B263">
        <v>10</v>
      </c>
      <c r="C263" t="s">
        <v>162</v>
      </c>
      <c r="D263" t="s">
        <v>35</v>
      </c>
    </row>
    <row r="264" spans="1:4" x14ac:dyDescent="0.25">
      <c r="A264" t="s">
        <v>28</v>
      </c>
      <c r="B264">
        <v>11</v>
      </c>
      <c r="C264" t="s">
        <v>157</v>
      </c>
      <c r="D264" t="s">
        <v>68</v>
      </c>
    </row>
    <row r="265" spans="1:4" x14ac:dyDescent="0.25">
      <c r="A265" t="s">
        <v>28</v>
      </c>
      <c r="B265">
        <v>12</v>
      </c>
      <c r="C265" t="s">
        <v>63</v>
      </c>
      <c r="D265" t="s">
        <v>26</v>
      </c>
    </row>
    <row r="266" spans="1:4" x14ac:dyDescent="0.25">
      <c r="A266" t="s">
        <v>28</v>
      </c>
      <c r="B266">
        <v>13</v>
      </c>
      <c r="C266" t="s">
        <v>179</v>
      </c>
      <c r="D266" t="s">
        <v>43</v>
      </c>
    </row>
    <row r="267" spans="1:4" x14ac:dyDescent="0.25">
      <c r="A267" t="s">
        <v>28</v>
      </c>
      <c r="B267">
        <v>14</v>
      </c>
      <c r="C267" t="s">
        <v>166</v>
      </c>
      <c r="D267" t="s">
        <v>33</v>
      </c>
    </row>
    <row r="268" spans="1:4" x14ac:dyDescent="0.25">
      <c r="A268" t="s">
        <v>28</v>
      </c>
      <c r="B268">
        <v>15</v>
      </c>
      <c r="C268" t="s">
        <v>130</v>
      </c>
      <c r="D268" t="s">
        <v>41</v>
      </c>
    </row>
    <row r="269" spans="1:4" x14ac:dyDescent="0.25">
      <c r="A269" t="s">
        <v>28</v>
      </c>
      <c r="B269">
        <v>16</v>
      </c>
      <c r="C269" t="s">
        <v>230</v>
      </c>
      <c r="D269" t="s">
        <v>96</v>
      </c>
    </row>
    <row r="270" spans="1:4" x14ac:dyDescent="0.25">
      <c r="A270" t="s">
        <v>28</v>
      </c>
      <c r="B270">
        <v>17</v>
      </c>
      <c r="C270" t="s">
        <v>344</v>
      </c>
      <c r="D270" t="s">
        <v>65</v>
      </c>
    </row>
    <row r="271" spans="1:4" x14ac:dyDescent="0.25">
      <c r="A271" t="s">
        <v>28</v>
      </c>
      <c r="B271">
        <v>18</v>
      </c>
      <c r="C271" t="s">
        <v>173</v>
      </c>
      <c r="D271" t="s">
        <v>51</v>
      </c>
    </row>
    <row r="272" spans="1:4" x14ac:dyDescent="0.25">
      <c r="A272" t="s">
        <v>28</v>
      </c>
      <c r="B272">
        <v>19</v>
      </c>
      <c r="C272" t="s">
        <v>174</v>
      </c>
      <c r="D272" t="s">
        <v>361</v>
      </c>
    </row>
    <row r="273" spans="1:4" x14ac:dyDescent="0.25">
      <c r="A273" t="s">
        <v>28</v>
      </c>
      <c r="B273">
        <v>20</v>
      </c>
      <c r="C273" t="s">
        <v>176</v>
      </c>
      <c r="D273" t="s">
        <v>80</v>
      </c>
    </row>
    <row r="274" spans="1:4" x14ac:dyDescent="0.25">
      <c r="A274" t="s">
        <v>28</v>
      </c>
      <c r="B274">
        <v>21</v>
      </c>
      <c r="C274" t="s">
        <v>224</v>
      </c>
      <c r="D274" t="s">
        <v>39</v>
      </c>
    </row>
    <row r="275" spans="1:4" x14ac:dyDescent="0.25">
      <c r="A275" t="s">
        <v>28</v>
      </c>
      <c r="B275">
        <v>22</v>
      </c>
      <c r="C275" t="s">
        <v>104</v>
      </c>
      <c r="D275" t="s">
        <v>31</v>
      </c>
    </row>
    <row r="276" spans="1:4" x14ac:dyDescent="0.25">
      <c r="A276" t="s">
        <v>28</v>
      </c>
      <c r="B276">
        <v>23</v>
      </c>
      <c r="C276" t="s">
        <v>371</v>
      </c>
      <c r="D276" t="s">
        <v>90</v>
      </c>
    </row>
    <row r="277" spans="1:4" x14ac:dyDescent="0.25">
      <c r="A277" t="s">
        <v>28</v>
      </c>
      <c r="B277">
        <v>24</v>
      </c>
      <c r="C277" t="s">
        <v>346</v>
      </c>
      <c r="D277" t="s">
        <v>74</v>
      </c>
    </row>
    <row r="278" spans="1:4" x14ac:dyDescent="0.25">
      <c r="A278" t="s">
        <v>28</v>
      </c>
      <c r="B278">
        <v>25</v>
      </c>
      <c r="C278" t="s">
        <v>337</v>
      </c>
      <c r="D278" t="s">
        <v>114</v>
      </c>
    </row>
    <row r="279" spans="1:4" x14ac:dyDescent="0.25">
      <c r="A279" t="s">
        <v>28</v>
      </c>
      <c r="B279">
        <v>26</v>
      </c>
      <c r="C279" t="s">
        <v>189</v>
      </c>
      <c r="D279" t="s">
        <v>57</v>
      </c>
    </row>
    <row r="280" spans="1:4" x14ac:dyDescent="0.25">
      <c r="A280" t="s">
        <v>28</v>
      </c>
      <c r="B280">
        <v>27</v>
      </c>
      <c r="C280" t="s">
        <v>134</v>
      </c>
      <c r="D280" t="s">
        <v>65</v>
      </c>
    </row>
    <row r="281" spans="1:4" x14ac:dyDescent="0.25">
      <c r="A281" t="s">
        <v>28</v>
      </c>
      <c r="B281">
        <v>28</v>
      </c>
      <c r="C281" t="s">
        <v>216</v>
      </c>
      <c r="D281" t="s">
        <v>108</v>
      </c>
    </row>
    <row r="282" spans="1:4" x14ac:dyDescent="0.25">
      <c r="A282" t="s">
        <v>28</v>
      </c>
      <c r="B282">
        <v>29</v>
      </c>
      <c r="C282" t="s">
        <v>370</v>
      </c>
      <c r="D282" t="s">
        <v>49</v>
      </c>
    </row>
    <row r="283" spans="1:4" x14ac:dyDescent="0.25">
      <c r="A283" t="s">
        <v>28</v>
      </c>
      <c r="B283">
        <v>30</v>
      </c>
      <c r="C283" t="s">
        <v>242</v>
      </c>
      <c r="D283" t="s">
        <v>49</v>
      </c>
    </row>
    <row r="284" spans="1:4" x14ac:dyDescent="0.25">
      <c r="A284" t="s">
        <v>28</v>
      </c>
      <c r="B284">
        <v>31</v>
      </c>
      <c r="C284" t="s">
        <v>128</v>
      </c>
      <c r="D284" t="s">
        <v>98</v>
      </c>
    </row>
    <row r="285" spans="1:4" x14ac:dyDescent="0.25">
      <c r="A285" t="s">
        <v>28</v>
      </c>
      <c r="B285">
        <v>32</v>
      </c>
      <c r="C285" t="s">
        <v>369</v>
      </c>
      <c r="D285" t="s">
        <v>33</v>
      </c>
    </row>
    <row r="286" spans="1:4" x14ac:dyDescent="0.25">
      <c r="A286" t="s">
        <v>28</v>
      </c>
      <c r="B286">
        <v>33</v>
      </c>
      <c r="C286" t="s">
        <v>182</v>
      </c>
      <c r="D286" t="s">
        <v>90</v>
      </c>
    </row>
    <row r="287" spans="1:4" x14ac:dyDescent="0.25">
      <c r="A287" t="s">
        <v>28</v>
      </c>
      <c r="B287">
        <v>34</v>
      </c>
      <c r="C287" t="s">
        <v>220</v>
      </c>
      <c r="D287" t="s">
        <v>43</v>
      </c>
    </row>
    <row r="288" spans="1:4" x14ac:dyDescent="0.25">
      <c r="A288" t="s">
        <v>28</v>
      </c>
      <c r="B288">
        <v>35</v>
      </c>
      <c r="C288" t="s">
        <v>368</v>
      </c>
      <c r="D288" t="s">
        <v>96</v>
      </c>
    </row>
    <row r="289" spans="1:4" x14ac:dyDescent="0.25">
      <c r="A289" t="s">
        <v>28</v>
      </c>
      <c r="B289">
        <v>36</v>
      </c>
      <c r="C289" t="s">
        <v>200</v>
      </c>
      <c r="D289" t="s">
        <v>21</v>
      </c>
    </row>
    <row r="290" spans="1:4" x14ac:dyDescent="0.25">
      <c r="A290" t="s">
        <v>28</v>
      </c>
      <c r="B290">
        <v>37</v>
      </c>
      <c r="C290" t="s">
        <v>343</v>
      </c>
      <c r="D290" t="s">
        <v>59</v>
      </c>
    </row>
    <row r="291" spans="1:4" x14ac:dyDescent="0.25">
      <c r="A291" t="s">
        <v>28</v>
      </c>
      <c r="B291">
        <v>38</v>
      </c>
      <c r="C291" t="s">
        <v>252</v>
      </c>
      <c r="D291" t="s">
        <v>26</v>
      </c>
    </row>
    <row r="292" spans="1:4" x14ac:dyDescent="0.25">
      <c r="A292" t="s">
        <v>28</v>
      </c>
      <c r="B292">
        <v>39</v>
      </c>
      <c r="C292" t="s">
        <v>331</v>
      </c>
      <c r="D292" t="s">
        <v>108</v>
      </c>
    </row>
    <row r="293" spans="1:4" x14ac:dyDescent="0.25">
      <c r="A293" t="s">
        <v>28</v>
      </c>
      <c r="B293">
        <v>40</v>
      </c>
      <c r="C293" t="s">
        <v>367</v>
      </c>
      <c r="D293" t="s">
        <v>49</v>
      </c>
    </row>
    <row r="294" spans="1:4" x14ac:dyDescent="0.25">
      <c r="A294" t="s">
        <v>28</v>
      </c>
      <c r="B294">
        <v>41</v>
      </c>
      <c r="C294" t="s">
        <v>236</v>
      </c>
      <c r="D294" t="s">
        <v>49</v>
      </c>
    </row>
    <row r="295" spans="1:4" x14ac:dyDescent="0.25">
      <c r="A295" t="s">
        <v>28</v>
      </c>
      <c r="B295">
        <v>42</v>
      </c>
      <c r="C295" t="s">
        <v>366</v>
      </c>
      <c r="D295" t="s">
        <v>85</v>
      </c>
    </row>
    <row r="296" spans="1:4" x14ac:dyDescent="0.25">
      <c r="A296" t="s">
        <v>28</v>
      </c>
      <c r="B296">
        <v>43</v>
      </c>
      <c r="C296" t="s">
        <v>365</v>
      </c>
      <c r="D296" t="s">
        <v>74</v>
      </c>
    </row>
    <row r="297" spans="1:4" x14ac:dyDescent="0.25">
      <c r="A297" t="s">
        <v>28</v>
      </c>
      <c r="B297">
        <v>44</v>
      </c>
      <c r="C297" t="s">
        <v>345</v>
      </c>
      <c r="D297" t="s">
        <v>29</v>
      </c>
    </row>
    <row r="298" spans="1:4" x14ac:dyDescent="0.25">
      <c r="A298" t="s">
        <v>28</v>
      </c>
      <c r="B298">
        <v>45</v>
      </c>
      <c r="C298" t="s">
        <v>364</v>
      </c>
      <c r="D298" t="s">
        <v>92</v>
      </c>
    </row>
    <row r="299" spans="1:4" x14ac:dyDescent="0.25">
      <c r="A299" t="s">
        <v>28</v>
      </c>
      <c r="B299">
        <v>46</v>
      </c>
      <c r="C299" t="s">
        <v>328</v>
      </c>
      <c r="D299" t="s">
        <v>110</v>
      </c>
    </row>
    <row r="300" spans="1:4" x14ac:dyDescent="0.25">
      <c r="A300" t="s">
        <v>28</v>
      </c>
      <c r="B300">
        <v>47</v>
      </c>
      <c r="C300" t="s">
        <v>250</v>
      </c>
      <c r="D300" t="s">
        <v>68</v>
      </c>
    </row>
    <row r="301" spans="1:4" x14ac:dyDescent="0.25">
      <c r="A301" t="s">
        <v>28</v>
      </c>
      <c r="B301">
        <v>48</v>
      </c>
      <c r="C301" t="s">
        <v>336</v>
      </c>
      <c r="D301" t="s">
        <v>96</v>
      </c>
    </row>
    <row r="302" spans="1:4" x14ac:dyDescent="0.25">
      <c r="A302" t="s">
        <v>28</v>
      </c>
      <c r="B302">
        <v>49</v>
      </c>
      <c r="C302" t="s">
        <v>363</v>
      </c>
      <c r="D302" t="s">
        <v>98</v>
      </c>
    </row>
    <row r="303" spans="1:4" x14ac:dyDescent="0.25">
      <c r="A303" t="s">
        <v>28</v>
      </c>
      <c r="B303">
        <v>50</v>
      </c>
      <c r="C303" t="s">
        <v>362</v>
      </c>
      <c r="D303" t="s">
        <v>361</v>
      </c>
    </row>
    <row r="304" spans="1:4" x14ac:dyDescent="0.25">
      <c r="A304" t="s">
        <v>28</v>
      </c>
      <c r="B304">
        <v>51</v>
      </c>
      <c r="C304" t="s">
        <v>324</v>
      </c>
      <c r="D304" t="s">
        <v>92</v>
      </c>
    </row>
    <row r="305" spans="1:4" x14ac:dyDescent="0.25">
      <c r="A305" t="s">
        <v>28</v>
      </c>
      <c r="B305">
        <v>52</v>
      </c>
      <c r="C305" t="s">
        <v>360</v>
      </c>
      <c r="D305" t="s">
        <v>61</v>
      </c>
    </row>
    <row r="306" spans="1:4" x14ac:dyDescent="0.25">
      <c r="A306" t="s">
        <v>28</v>
      </c>
      <c r="B306">
        <v>53</v>
      </c>
      <c r="C306" t="s">
        <v>359</v>
      </c>
      <c r="D306" t="s">
        <v>80</v>
      </c>
    </row>
    <row r="307" spans="1:4" x14ac:dyDescent="0.25">
      <c r="A307" t="s">
        <v>28</v>
      </c>
      <c r="B307">
        <v>54</v>
      </c>
      <c r="C307" t="s">
        <v>358</v>
      </c>
      <c r="D307" t="s">
        <v>80</v>
      </c>
    </row>
    <row r="308" spans="1:4" x14ac:dyDescent="0.25">
      <c r="A308" t="s">
        <v>67</v>
      </c>
      <c r="B308">
        <v>1</v>
      </c>
      <c r="C308" t="s">
        <v>66</v>
      </c>
      <c r="D308" t="s">
        <v>68</v>
      </c>
    </row>
    <row r="309" spans="1:4" x14ac:dyDescent="0.25">
      <c r="A309" t="s">
        <v>67</v>
      </c>
      <c r="B309">
        <v>2</v>
      </c>
      <c r="C309" t="s">
        <v>70</v>
      </c>
      <c r="D309" t="s">
        <v>41</v>
      </c>
    </row>
    <row r="310" spans="1:4" x14ac:dyDescent="0.25">
      <c r="A310" t="s">
        <v>67</v>
      </c>
      <c r="B310">
        <v>3</v>
      </c>
      <c r="C310" t="s">
        <v>170</v>
      </c>
      <c r="D310" t="s">
        <v>361</v>
      </c>
    </row>
    <row r="311" spans="1:4" x14ac:dyDescent="0.25">
      <c r="A311" t="s">
        <v>67</v>
      </c>
      <c r="B311">
        <v>4</v>
      </c>
      <c r="C311" t="s">
        <v>93</v>
      </c>
      <c r="D311" t="s">
        <v>21</v>
      </c>
    </row>
    <row r="312" spans="1:4" x14ac:dyDescent="0.25">
      <c r="A312" t="s">
        <v>67</v>
      </c>
      <c r="B312">
        <v>5</v>
      </c>
      <c r="C312" t="s">
        <v>79</v>
      </c>
      <c r="D312" t="s">
        <v>80</v>
      </c>
    </row>
    <row r="313" spans="1:4" x14ac:dyDescent="0.25">
      <c r="A313" t="s">
        <v>67</v>
      </c>
      <c r="B313">
        <v>6</v>
      </c>
      <c r="C313" t="s">
        <v>88</v>
      </c>
      <c r="D313" t="s">
        <v>33</v>
      </c>
    </row>
    <row r="314" spans="1:4" x14ac:dyDescent="0.25">
      <c r="A314" t="s">
        <v>67</v>
      </c>
      <c r="B314">
        <v>7</v>
      </c>
      <c r="C314" t="s">
        <v>161</v>
      </c>
      <c r="D314" t="s">
        <v>110</v>
      </c>
    </row>
    <row r="315" spans="1:4" x14ac:dyDescent="0.25">
      <c r="A315" t="s">
        <v>67</v>
      </c>
      <c r="B315">
        <v>8</v>
      </c>
      <c r="C315" t="s">
        <v>185</v>
      </c>
      <c r="D315" t="s">
        <v>65</v>
      </c>
    </row>
    <row r="316" spans="1:4" x14ac:dyDescent="0.25">
      <c r="A316" t="s">
        <v>67</v>
      </c>
      <c r="B316">
        <v>9</v>
      </c>
      <c r="C316" t="s">
        <v>287</v>
      </c>
      <c r="D316" t="s">
        <v>51</v>
      </c>
    </row>
    <row r="317" spans="1:4" x14ac:dyDescent="0.25">
      <c r="A317" t="s">
        <v>67</v>
      </c>
      <c r="B317">
        <v>10</v>
      </c>
      <c r="C317" t="s">
        <v>147</v>
      </c>
      <c r="D317" t="s">
        <v>35</v>
      </c>
    </row>
    <row r="318" spans="1:4" x14ac:dyDescent="0.25">
      <c r="A318" t="s">
        <v>67</v>
      </c>
      <c r="B318">
        <v>11</v>
      </c>
      <c r="C318" t="s">
        <v>234</v>
      </c>
      <c r="D318" t="s">
        <v>43</v>
      </c>
    </row>
    <row r="319" spans="1:4" x14ac:dyDescent="0.25">
      <c r="A319" t="s">
        <v>67</v>
      </c>
      <c r="B319">
        <v>12</v>
      </c>
      <c r="C319" t="s">
        <v>163</v>
      </c>
      <c r="D319" t="s">
        <v>26</v>
      </c>
    </row>
    <row r="320" spans="1:4" x14ac:dyDescent="0.25">
      <c r="A320" t="s">
        <v>67</v>
      </c>
      <c r="B320">
        <v>13</v>
      </c>
      <c r="C320" t="s">
        <v>129</v>
      </c>
      <c r="D320" t="s">
        <v>85</v>
      </c>
    </row>
    <row r="321" spans="1:4" x14ac:dyDescent="0.25">
      <c r="A321" t="s">
        <v>67</v>
      </c>
      <c r="B321">
        <v>14</v>
      </c>
      <c r="C321" t="s">
        <v>144</v>
      </c>
      <c r="D321" t="s">
        <v>98</v>
      </c>
    </row>
    <row r="322" spans="1:4" x14ac:dyDescent="0.25">
      <c r="A322" t="s">
        <v>67</v>
      </c>
      <c r="B322">
        <v>15</v>
      </c>
      <c r="C322" t="s">
        <v>202</v>
      </c>
      <c r="D322" t="s">
        <v>49</v>
      </c>
    </row>
    <row r="323" spans="1:4" x14ac:dyDescent="0.25">
      <c r="A323" t="s">
        <v>67</v>
      </c>
      <c r="B323">
        <v>16</v>
      </c>
      <c r="C323" t="s">
        <v>167</v>
      </c>
      <c r="D323" t="s">
        <v>37</v>
      </c>
    </row>
    <row r="324" spans="1:4" x14ac:dyDescent="0.25">
      <c r="A324" t="s">
        <v>67</v>
      </c>
      <c r="B324">
        <v>17</v>
      </c>
      <c r="C324" t="s">
        <v>158</v>
      </c>
      <c r="D324" t="s">
        <v>31</v>
      </c>
    </row>
    <row r="325" spans="1:4" x14ac:dyDescent="0.25">
      <c r="A325" t="s">
        <v>67</v>
      </c>
      <c r="B325">
        <v>18</v>
      </c>
      <c r="C325" t="s">
        <v>235</v>
      </c>
      <c r="D325" t="s">
        <v>61</v>
      </c>
    </row>
    <row r="326" spans="1:4" x14ac:dyDescent="0.25">
      <c r="A326" t="s">
        <v>67</v>
      </c>
      <c r="B326">
        <v>19</v>
      </c>
      <c r="C326" t="s">
        <v>138</v>
      </c>
      <c r="D326" t="s">
        <v>57</v>
      </c>
    </row>
    <row r="327" spans="1:4" x14ac:dyDescent="0.25">
      <c r="A327" t="s">
        <v>67</v>
      </c>
      <c r="B327">
        <v>20</v>
      </c>
      <c r="C327" t="s">
        <v>278</v>
      </c>
      <c r="D327" t="s">
        <v>96</v>
      </c>
    </row>
    <row r="328" spans="1:4" x14ac:dyDescent="0.25">
      <c r="A328" t="s">
        <v>67</v>
      </c>
      <c r="B328">
        <v>21</v>
      </c>
      <c r="C328" t="s">
        <v>309</v>
      </c>
      <c r="D328" t="s">
        <v>59</v>
      </c>
    </row>
    <row r="329" spans="1:4" x14ac:dyDescent="0.25">
      <c r="A329" t="s">
        <v>67</v>
      </c>
      <c r="B329">
        <v>22</v>
      </c>
      <c r="C329" t="s">
        <v>222</v>
      </c>
      <c r="D329" t="s">
        <v>39</v>
      </c>
    </row>
    <row r="330" spans="1:4" x14ac:dyDescent="0.25">
      <c r="A330" t="s">
        <v>67</v>
      </c>
      <c r="B330">
        <v>23</v>
      </c>
      <c r="C330" t="s">
        <v>205</v>
      </c>
      <c r="D330" t="s">
        <v>74</v>
      </c>
    </row>
    <row r="331" spans="1:4" x14ac:dyDescent="0.25">
      <c r="A331" t="s">
        <v>67</v>
      </c>
      <c r="B331">
        <v>24</v>
      </c>
      <c r="C331" t="s">
        <v>191</v>
      </c>
      <c r="D331" t="s">
        <v>114</v>
      </c>
    </row>
    <row r="332" spans="1:4" x14ac:dyDescent="0.25">
      <c r="A332" t="s">
        <v>67</v>
      </c>
      <c r="B332">
        <v>25</v>
      </c>
      <c r="C332" t="s">
        <v>232</v>
      </c>
      <c r="D332" t="s">
        <v>55</v>
      </c>
    </row>
    <row r="333" spans="1:4" x14ac:dyDescent="0.25">
      <c r="A333" t="s">
        <v>67</v>
      </c>
      <c r="B333">
        <v>26</v>
      </c>
      <c r="C333" t="s">
        <v>188</v>
      </c>
      <c r="D333" t="s">
        <v>92</v>
      </c>
    </row>
    <row r="334" spans="1:4" x14ac:dyDescent="0.25">
      <c r="A334" t="s">
        <v>67</v>
      </c>
      <c r="B334">
        <v>27</v>
      </c>
      <c r="C334" t="s">
        <v>439</v>
      </c>
      <c r="D334" t="s">
        <v>45</v>
      </c>
    </row>
    <row r="335" spans="1:4" x14ac:dyDescent="0.25">
      <c r="A335" t="s">
        <v>67</v>
      </c>
      <c r="B335">
        <v>28</v>
      </c>
      <c r="C335" t="s">
        <v>196</v>
      </c>
      <c r="D335" t="s">
        <v>90</v>
      </c>
    </row>
    <row r="336" spans="1:4" x14ac:dyDescent="0.25">
      <c r="A336" t="s">
        <v>67</v>
      </c>
      <c r="B336">
        <v>29</v>
      </c>
      <c r="C336" t="s">
        <v>219</v>
      </c>
      <c r="D336" t="s">
        <v>108</v>
      </c>
    </row>
    <row r="337" spans="1:4" x14ac:dyDescent="0.25">
      <c r="A337" t="s">
        <v>67</v>
      </c>
      <c r="B337">
        <v>30</v>
      </c>
      <c r="C337" t="s">
        <v>440</v>
      </c>
      <c r="D337" t="s">
        <v>29</v>
      </c>
    </row>
    <row r="338" spans="1:4" x14ac:dyDescent="0.25">
      <c r="A338" t="s">
        <v>67</v>
      </c>
      <c r="B338">
        <v>31</v>
      </c>
      <c r="C338" t="s">
        <v>304</v>
      </c>
      <c r="D338" t="s">
        <v>24</v>
      </c>
    </row>
    <row r="339" spans="1:4" x14ac:dyDescent="0.25">
      <c r="A339" t="s">
        <v>67</v>
      </c>
      <c r="B339">
        <v>32</v>
      </c>
      <c r="C339" t="s">
        <v>183</v>
      </c>
      <c r="D339" t="s">
        <v>24</v>
      </c>
    </row>
    <row r="340" spans="1:4" x14ac:dyDescent="0.25">
      <c r="A340" t="s">
        <v>67</v>
      </c>
      <c r="B340">
        <v>33</v>
      </c>
      <c r="C340" t="s">
        <v>312</v>
      </c>
      <c r="D340" t="s">
        <v>132</v>
      </c>
    </row>
    <row r="341" spans="1:4" x14ac:dyDescent="0.25">
      <c r="A341" t="s">
        <v>67</v>
      </c>
      <c r="B341">
        <v>34</v>
      </c>
      <c r="C341" t="s">
        <v>333</v>
      </c>
      <c r="D341" t="s">
        <v>29</v>
      </c>
    </row>
    <row r="342" spans="1:4" x14ac:dyDescent="0.25">
      <c r="A342" t="s">
        <v>67</v>
      </c>
      <c r="B342">
        <v>35</v>
      </c>
      <c r="C342" t="s">
        <v>441</v>
      </c>
      <c r="D342" t="s">
        <v>132</v>
      </c>
    </row>
    <row r="343" spans="1:4" x14ac:dyDescent="0.25">
      <c r="A343" t="s">
        <v>67</v>
      </c>
      <c r="B343">
        <v>36</v>
      </c>
      <c r="C343" t="s">
        <v>213</v>
      </c>
      <c r="D343" t="s">
        <v>31</v>
      </c>
    </row>
    <row r="344" spans="1:4" x14ac:dyDescent="0.25">
      <c r="A344" t="s">
        <v>67</v>
      </c>
      <c r="B344">
        <v>37</v>
      </c>
      <c r="C344" t="s">
        <v>351</v>
      </c>
      <c r="D344" t="s">
        <v>26</v>
      </c>
    </row>
    <row r="345" spans="1:4" x14ac:dyDescent="0.25">
      <c r="A345" t="s">
        <v>67</v>
      </c>
      <c r="B345">
        <v>38</v>
      </c>
      <c r="C345" t="s">
        <v>442</v>
      </c>
      <c r="D345" t="s">
        <v>45</v>
      </c>
    </row>
    <row r="346" spans="1:4" x14ac:dyDescent="0.25">
      <c r="A346" t="s">
        <v>67</v>
      </c>
      <c r="B346">
        <v>39</v>
      </c>
      <c r="C346" t="s">
        <v>443</v>
      </c>
      <c r="D346" t="s">
        <v>49</v>
      </c>
    </row>
    <row r="347" spans="1:4" x14ac:dyDescent="0.25">
      <c r="A347" t="s">
        <v>67</v>
      </c>
      <c r="B347">
        <v>40</v>
      </c>
      <c r="C347" t="s">
        <v>143</v>
      </c>
      <c r="D347" t="s">
        <v>85</v>
      </c>
    </row>
    <row r="348" spans="1:4" x14ac:dyDescent="0.25">
      <c r="A348" t="s">
        <v>67</v>
      </c>
      <c r="B348">
        <v>41</v>
      </c>
      <c r="C348" t="s">
        <v>444</v>
      </c>
      <c r="D348" t="s">
        <v>55</v>
      </c>
    </row>
    <row r="349" spans="1:4" x14ac:dyDescent="0.25">
      <c r="A349" t="s">
        <v>67</v>
      </c>
      <c r="B349">
        <v>42</v>
      </c>
      <c r="C349" t="s">
        <v>251</v>
      </c>
      <c r="D349" t="s">
        <v>21</v>
      </c>
    </row>
  </sheetData>
  <autoFilter ref="B1:E188" xr:uid="{9FF29A70-18E8-45BA-B1F9-DF81B8FCAFAC}">
    <sortState xmlns:xlrd2="http://schemas.microsoft.com/office/spreadsheetml/2017/richdata2" ref="B2:D307">
      <sortCondition ref="B1:B1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Drafkings Best Ball</vt:lpstr>
      <vt:lpstr>FFPC Best Ball</vt:lpstr>
      <vt:lpstr>FFPC Super Best Ball</vt:lpstr>
      <vt:lpstr>Sheet2</vt:lpstr>
      <vt:lpstr>26 WR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Bernick</dc:creator>
  <cp:lastModifiedBy>Josh Bernick</cp:lastModifiedBy>
  <dcterms:created xsi:type="dcterms:W3CDTF">2026-07-04T17:41:07Z</dcterms:created>
  <dcterms:modified xsi:type="dcterms:W3CDTF">2026-07-05T22:06:57Z</dcterms:modified>
</cp:coreProperties>
</file>